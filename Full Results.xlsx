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rizos\Downloads\"/>
    </mc:Choice>
  </mc:AlternateContent>
  <xr:revisionPtr revIDLastSave="0" documentId="13_ncr:1_{9A9FFE9F-63F0-442A-A0AA-9A3835831DB4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All" sheetId="1" r:id="rId1"/>
    <sheet name="AxCQ qconfig te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38" i="1" l="1"/>
  <c r="I17" i="1"/>
  <c r="Q112" i="2"/>
  <c r="Q106" i="2"/>
  <c r="I100" i="2"/>
  <c r="K99" i="2"/>
  <c r="S96" i="2"/>
  <c r="I96" i="2"/>
  <c r="K95" i="2"/>
  <c r="S92" i="2"/>
  <c r="I92" i="2"/>
  <c r="K91" i="2"/>
  <c r="M90" i="2"/>
  <c r="I88" i="2"/>
  <c r="Q92" i="2" s="1"/>
  <c r="K87" i="2"/>
  <c r="M86" i="2"/>
  <c r="I84" i="2"/>
  <c r="K83" i="2"/>
  <c r="N76" i="2"/>
  <c r="M76" i="2"/>
  <c r="L76" i="2"/>
  <c r="K76" i="2"/>
  <c r="J76" i="2"/>
  <c r="I76" i="2"/>
  <c r="H76" i="2"/>
  <c r="G76" i="2"/>
  <c r="N75" i="2"/>
  <c r="M75" i="2"/>
  <c r="L75" i="2"/>
  <c r="K75" i="2"/>
  <c r="J75" i="2"/>
  <c r="I75" i="2"/>
  <c r="H75" i="2"/>
  <c r="G75" i="2"/>
  <c r="N74" i="2"/>
  <c r="M74" i="2"/>
  <c r="L74" i="2"/>
  <c r="K74" i="2"/>
  <c r="J74" i="2"/>
  <c r="I74" i="2"/>
  <c r="H74" i="2"/>
  <c r="G74" i="2"/>
  <c r="N73" i="2"/>
  <c r="M73" i="2"/>
  <c r="L73" i="2"/>
  <c r="K73" i="2"/>
  <c r="J73" i="2"/>
  <c r="I73" i="2"/>
  <c r="H73" i="2"/>
  <c r="G73" i="2"/>
  <c r="N72" i="2"/>
  <c r="M72" i="2"/>
  <c r="L72" i="2"/>
  <c r="K72" i="2"/>
  <c r="J72" i="2"/>
  <c r="I72" i="2"/>
  <c r="H72" i="2"/>
  <c r="G72" i="2"/>
  <c r="N71" i="2"/>
  <c r="M71" i="2"/>
  <c r="L71" i="2"/>
  <c r="K71" i="2"/>
  <c r="J71" i="2"/>
  <c r="I71" i="2"/>
  <c r="H71" i="2"/>
  <c r="G71" i="2"/>
  <c r="N70" i="2"/>
  <c r="M70" i="2"/>
  <c r="L70" i="2"/>
  <c r="K70" i="2"/>
  <c r="J70" i="2"/>
  <c r="I70" i="2"/>
  <c r="H70" i="2"/>
  <c r="G70" i="2"/>
  <c r="N69" i="2"/>
  <c r="M69" i="2"/>
  <c r="L69" i="2"/>
  <c r="K69" i="2"/>
  <c r="J69" i="2"/>
  <c r="I69" i="2"/>
  <c r="H69" i="2"/>
  <c r="G69" i="2"/>
  <c r="N68" i="2"/>
  <c r="M68" i="2"/>
  <c r="L68" i="2"/>
  <c r="K68" i="2"/>
  <c r="J68" i="2"/>
  <c r="I68" i="2"/>
  <c r="H68" i="2"/>
  <c r="G68" i="2"/>
  <c r="N67" i="2"/>
  <c r="M67" i="2"/>
  <c r="L67" i="2"/>
  <c r="K67" i="2"/>
  <c r="J67" i="2"/>
  <c r="I67" i="2"/>
  <c r="H67" i="2"/>
  <c r="G67" i="2"/>
  <c r="N66" i="2"/>
  <c r="M66" i="2"/>
  <c r="L66" i="2"/>
  <c r="K66" i="2"/>
  <c r="J66" i="2"/>
  <c r="I66" i="2"/>
  <c r="H66" i="2"/>
  <c r="G66" i="2"/>
  <c r="N65" i="2"/>
  <c r="M65" i="2"/>
  <c r="L65" i="2"/>
  <c r="K65" i="2"/>
  <c r="J65" i="2"/>
  <c r="I65" i="2"/>
  <c r="H65" i="2"/>
  <c r="G65" i="2"/>
  <c r="N64" i="2"/>
  <c r="M64" i="2"/>
  <c r="L64" i="2"/>
  <c r="K64" i="2"/>
  <c r="J64" i="2"/>
  <c r="I64" i="2"/>
  <c r="H64" i="2"/>
  <c r="G64" i="2"/>
  <c r="N63" i="2"/>
  <c r="M63" i="2"/>
  <c r="L63" i="2"/>
  <c r="K63" i="2"/>
  <c r="J63" i="2"/>
  <c r="I63" i="2"/>
  <c r="H63" i="2"/>
  <c r="G63" i="2"/>
  <c r="N62" i="2"/>
  <c r="M62" i="2"/>
  <c r="L62" i="2"/>
  <c r="K62" i="2"/>
  <c r="J62" i="2"/>
  <c r="I62" i="2"/>
  <c r="H62" i="2"/>
  <c r="G62" i="2"/>
  <c r="N61" i="2"/>
  <c r="M61" i="2"/>
  <c r="L61" i="2"/>
  <c r="K61" i="2"/>
  <c r="J61" i="2"/>
  <c r="I61" i="2"/>
  <c r="H61" i="2"/>
  <c r="G61" i="2"/>
  <c r="N60" i="2"/>
  <c r="M60" i="2"/>
  <c r="L60" i="2"/>
  <c r="K60" i="2"/>
  <c r="J60" i="2"/>
  <c r="I60" i="2"/>
  <c r="H60" i="2"/>
  <c r="G60" i="2"/>
  <c r="N59" i="2"/>
  <c r="M59" i="2"/>
  <c r="L59" i="2"/>
  <c r="K59" i="2"/>
  <c r="J59" i="2"/>
  <c r="I59" i="2"/>
  <c r="H59" i="2"/>
  <c r="G59" i="2"/>
  <c r="N58" i="2"/>
  <c r="M58" i="2"/>
  <c r="L58" i="2"/>
  <c r="K58" i="2"/>
  <c r="J58" i="2"/>
  <c r="I58" i="2"/>
  <c r="K100" i="2" s="1"/>
  <c r="H58" i="2"/>
  <c r="G58" i="2"/>
  <c r="J100" i="2" s="1"/>
  <c r="N57" i="2"/>
  <c r="M57" i="2"/>
  <c r="L57" i="2"/>
  <c r="K57" i="2"/>
  <c r="J57" i="2"/>
  <c r="I57" i="2"/>
  <c r="H57" i="2"/>
  <c r="G57" i="2"/>
  <c r="J99" i="2" s="1"/>
  <c r="N56" i="2"/>
  <c r="M56" i="2"/>
  <c r="L56" i="2"/>
  <c r="K56" i="2"/>
  <c r="J56" i="2"/>
  <c r="I56" i="2"/>
  <c r="K98" i="2" s="1"/>
  <c r="H56" i="2"/>
  <c r="G56" i="2"/>
  <c r="J98" i="2" s="1"/>
  <c r="M98" i="2" s="1"/>
  <c r="N55" i="2"/>
  <c r="M55" i="2"/>
  <c r="L55" i="2"/>
  <c r="K55" i="2"/>
  <c r="J55" i="2"/>
  <c r="I55" i="2"/>
  <c r="K97" i="2" s="1"/>
  <c r="H55" i="2"/>
  <c r="G55" i="2"/>
  <c r="J97" i="2" s="1"/>
  <c r="N54" i="2"/>
  <c r="M54" i="2"/>
  <c r="L54" i="2"/>
  <c r="K54" i="2"/>
  <c r="J54" i="2"/>
  <c r="I54" i="2"/>
  <c r="K96" i="2" s="1"/>
  <c r="H54" i="2"/>
  <c r="G54" i="2"/>
  <c r="J96" i="2" s="1"/>
  <c r="M96" i="2" s="1"/>
  <c r="N53" i="2"/>
  <c r="M53" i="2"/>
  <c r="L53" i="2"/>
  <c r="K53" i="2"/>
  <c r="J53" i="2"/>
  <c r="I53" i="2"/>
  <c r="H53" i="2"/>
  <c r="G53" i="2"/>
  <c r="J95" i="2" s="1"/>
  <c r="M95" i="2" s="1"/>
  <c r="N52" i="2"/>
  <c r="M52" i="2"/>
  <c r="L52" i="2"/>
  <c r="K52" i="2"/>
  <c r="J52" i="2"/>
  <c r="I52" i="2"/>
  <c r="K94" i="2" s="1"/>
  <c r="S100" i="2" s="1"/>
  <c r="H52" i="2"/>
  <c r="G52" i="2"/>
  <c r="J94" i="2" s="1"/>
  <c r="R100" i="2" s="1"/>
  <c r="N51" i="2"/>
  <c r="M51" i="2"/>
  <c r="L51" i="2"/>
  <c r="K51" i="2"/>
  <c r="J51" i="2"/>
  <c r="I51" i="2"/>
  <c r="K93" i="2" s="1"/>
  <c r="H51" i="2"/>
  <c r="G51" i="2"/>
  <c r="J93" i="2" s="1"/>
  <c r="N50" i="2"/>
  <c r="M50" i="2"/>
  <c r="L50" i="2"/>
  <c r="K50" i="2"/>
  <c r="J50" i="2"/>
  <c r="I50" i="2"/>
  <c r="K92" i="2" s="1"/>
  <c r="H50" i="2"/>
  <c r="G50" i="2"/>
  <c r="J92" i="2" s="1"/>
  <c r="N49" i="2"/>
  <c r="M49" i="2"/>
  <c r="L49" i="2"/>
  <c r="K49" i="2"/>
  <c r="J49" i="2"/>
  <c r="I49" i="2"/>
  <c r="H49" i="2"/>
  <c r="G49" i="2"/>
  <c r="J91" i="2" s="1"/>
  <c r="N48" i="2"/>
  <c r="M48" i="2"/>
  <c r="L48" i="2"/>
  <c r="K48" i="2"/>
  <c r="J48" i="2"/>
  <c r="I48" i="2"/>
  <c r="K90" i="2" s="1"/>
  <c r="S94" i="2" s="1"/>
  <c r="H48" i="2"/>
  <c r="G48" i="2"/>
  <c r="J90" i="2" s="1"/>
  <c r="R94" i="2" s="1"/>
  <c r="N47" i="2"/>
  <c r="M47" i="2"/>
  <c r="L47" i="2"/>
  <c r="K47" i="2"/>
  <c r="J47" i="2"/>
  <c r="I47" i="2"/>
  <c r="K89" i="2" s="1"/>
  <c r="S93" i="2" s="1"/>
  <c r="H47" i="2"/>
  <c r="G47" i="2"/>
  <c r="J89" i="2" s="1"/>
  <c r="N46" i="2"/>
  <c r="M46" i="2"/>
  <c r="L46" i="2"/>
  <c r="K46" i="2"/>
  <c r="J46" i="2"/>
  <c r="I46" i="2"/>
  <c r="K88" i="2" s="1"/>
  <c r="H46" i="2"/>
  <c r="G46" i="2"/>
  <c r="J88" i="2" s="1"/>
  <c r="N45" i="2"/>
  <c r="M45" i="2"/>
  <c r="L45" i="2"/>
  <c r="K45" i="2"/>
  <c r="J45" i="2"/>
  <c r="I45" i="2"/>
  <c r="H45" i="2"/>
  <c r="G45" i="2"/>
  <c r="J87" i="2" s="1"/>
  <c r="N44" i="2"/>
  <c r="M44" i="2"/>
  <c r="L44" i="2"/>
  <c r="K44" i="2"/>
  <c r="J44" i="2"/>
  <c r="I44" i="2"/>
  <c r="K86" i="2" s="1"/>
  <c r="H44" i="2"/>
  <c r="G44" i="2"/>
  <c r="J86" i="2" s="1"/>
  <c r="N43" i="2"/>
  <c r="M43" i="2"/>
  <c r="L43" i="2"/>
  <c r="K43" i="2"/>
  <c r="J43" i="2"/>
  <c r="I43" i="2"/>
  <c r="K85" i="2" s="1"/>
  <c r="H43" i="2"/>
  <c r="G43" i="2"/>
  <c r="J85" i="2" s="1"/>
  <c r="N42" i="2"/>
  <c r="M42" i="2"/>
  <c r="L42" i="2"/>
  <c r="K42" i="2"/>
  <c r="J42" i="2"/>
  <c r="I42" i="2"/>
  <c r="K84" i="2" s="1"/>
  <c r="H42" i="2"/>
  <c r="G42" i="2"/>
  <c r="J84" i="2" s="1"/>
  <c r="N41" i="2"/>
  <c r="M41" i="2"/>
  <c r="L41" i="2"/>
  <c r="K41" i="2"/>
  <c r="J41" i="2"/>
  <c r="I41" i="2"/>
  <c r="H41" i="2"/>
  <c r="G41" i="2"/>
  <c r="J83" i="2" s="1"/>
  <c r="N40" i="2"/>
  <c r="M40" i="2"/>
  <c r="L40" i="2"/>
  <c r="K40" i="2"/>
  <c r="J40" i="2"/>
  <c r="I40" i="2"/>
  <c r="H40" i="2"/>
  <c r="G40" i="2"/>
  <c r="N39" i="2"/>
  <c r="M39" i="2"/>
  <c r="L39" i="2"/>
  <c r="K39" i="2"/>
  <c r="J39" i="2"/>
  <c r="I39" i="2"/>
  <c r="H39" i="2"/>
  <c r="G39" i="2"/>
  <c r="N38" i="2"/>
  <c r="M38" i="2"/>
  <c r="L38" i="2"/>
  <c r="K38" i="2"/>
  <c r="J38" i="2"/>
  <c r="I38" i="2"/>
  <c r="H38" i="2"/>
  <c r="G38" i="2"/>
  <c r="N37" i="2"/>
  <c r="M37" i="2"/>
  <c r="L37" i="2"/>
  <c r="K37" i="2"/>
  <c r="J37" i="2"/>
  <c r="I37" i="2"/>
  <c r="H37" i="2"/>
  <c r="G37" i="2"/>
  <c r="N36" i="2"/>
  <c r="M36" i="2"/>
  <c r="L36" i="2"/>
  <c r="K36" i="2"/>
  <c r="J36" i="2"/>
  <c r="I36" i="2"/>
  <c r="H36" i="2"/>
  <c r="G36" i="2"/>
  <c r="N35" i="2"/>
  <c r="M35" i="2"/>
  <c r="L35" i="2"/>
  <c r="K35" i="2"/>
  <c r="J35" i="2"/>
  <c r="I35" i="2"/>
  <c r="H35" i="2"/>
  <c r="G35" i="2"/>
  <c r="N34" i="2"/>
  <c r="M34" i="2"/>
  <c r="L34" i="2"/>
  <c r="K34" i="2"/>
  <c r="J34" i="2"/>
  <c r="I34" i="2"/>
  <c r="H34" i="2"/>
  <c r="G34" i="2"/>
  <c r="N33" i="2"/>
  <c r="M33" i="2"/>
  <c r="L33" i="2"/>
  <c r="K33" i="2"/>
  <c r="J33" i="2"/>
  <c r="I33" i="2"/>
  <c r="H33" i="2"/>
  <c r="G33" i="2"/>
  <c r="N32" i="2"/>
  <c r="M32" i="2"/>
  <c r="L32" i="2"/>
  <c r="K32" i="2"/>
  <c r="J32" i="2"/>
  <c r="I32" i="2"/>
  <c r="H32" i="2"/>
  <c r="G32" i="2"/>
  <c r="N31" i="2"/>
  <c r="M31" i="2"/>
  <c r="L31" i="2"/>
  <c r="K31" i="2"/>
  <c r="J31" i="2"/>
  <c r="I31" i="2"/>
  <c r="H31" i="2"/>
  <c r="G31" i="2"/>
  <c r="N30" i="2"/>
  <c r="M30" i="2"/>
  <c r="L30" i="2"/>
  <c r="K30" i="2"/>
  <c r="J30" i="2"/>
  <c r="I30" i="2"/>
  <c r="H30" i="2"/>
  <c r="G30" i="2"/>
  <c r="N29" i="2"/>
  <c r="M29" i="2"/>
  <c r="L29" i="2"/>
  <c r="K29" i="2"/>
  <c r="J29" i="2"/>
  <c r="I29" i="2"/>
  <c r="H29" i="2"/>
  <c r="G29" i="2"/>
  <c r="N28" i="2"/>
  <c r="M28" i="2"/>
  <c r="L28" i="2"/>
  <c r="K28" i="2"/>
  <c r="J28" i="2"/>
  <c r="I28" i="2"/>
  <c r="H28" i="2"/>
  <c r="G28" i="2"/>
  <c r="N27" i="2"/>
  <c r="M27" i="2"/>
  <c r="L27" i="2"/>
  <c r="K27" i="2"/>
  <c r="J27" i="2"/>
  <c r="I27" i="2"/>
  <c r="H27" i="2"/>
  <c r="G27" i="2"/>
  <c r="N26" i="2"/>
  <c r="M26" i="2"/>
  <c r="L26" i="2"/>
  <c r="K26" i="2"/>
  <c r="J26" i="2"/>
  <c r="I26" i="2"/>
  <c r="H26" i="2"/>
  <c r="G26" i="2"/>
  <c r="N25" i="2"/>
  <c r="M25" i="2"/>
  <c r="L25" i="2"/>
  <c r="K25" i="2"/>
  <c r="J25" i="2"/>
  <c r="I25" i="2"/>
  <c r="H25" i="2"/>
  <c r="G25" i="2"/>
  <c r="N24" i="2"/>
  <c r="M24" i="2"/>
  <c r="L24" i="2"/>
  <c r="K24" i="2"/>
  <c r="J24" i="2"/>
  <c r="I24" i="2"/>
  <c r="H24" i="2"/>
  <c r="G24" i="2"/>
  <c r="N23" i="2"/>
  <c r="M23" i="2"/>
  <c r="L23" i="2"/>
  <c r="K23" i="2"/>
  <c r="J23" i="2"/>
  <c r="I23" i="2"/>
  <c r="H23" i="2"/>
  <c r="G23" i="2"/>
  <c r="N22" i="2"/>
  <c r="M22" i="2"/>
  <c r="L22" i="2"/>
  <c r="K22" i="2"/>
  <c r="J22" i="2"/>
  <c r="I22" i="2"/>
  <c r="H22" i="2"/>
  <c r="G22" i="2"/>
  <c r="H100" i="2" s="1"/>
  <c r="L100" i="2" s="1"/>
  <c r="N21" i="2"/>
  <c r="M21" i="2"/>
  <c r="L21" i="2"/>
  <c r="K21" i="2"/>
  <c r="J21" i="2"/>
  <c r="I21" i="2"/>
  <c r="I99" i="2" s="1"/>
  <c r="H21" i="2"/>
  <c r="G21" i="2"/>
  <c r="H99" i="2" s="1"/>
  <c r="L99" i="2" s="1"/>
  <c r="N20" i="2"/>
  <c r="M20" i="2"/>
  <c r="L20" i="2"/>
  <c r="K20" i="2"/>
  <c r="J20" i="2"/>
  <c r="I20" i="2"/>
  <c r="I98" i="2" s="1"/>
  <c r="Q116" i="2" s="1"/>
  <c r="H20" i="2"/>
  <c r="G20" i="2"/>
  <c r="H98" i="2" s="1"/>
  <c r="N19" i="2"/>
  <c r="M19" i="2"/>
  <c r="L19" i="2"/>
  <c r="K19" i="2"/>
  <c r="J19" i="2"/>
  <c r="I19" i="2"/>
  <c r="I97" i="2" s="1"/>
  <c r="H19" i="2"/>
  <c r="G19" i="2"/>
  <c r="H97" i="2" s="1"/>
  <c r="N18" i="2"/>
  <c r="M18" i="2"/>
  <c r="L18" i="2"/>
  <c r="K18" i="2"/>
  <c r="J18" i="2"/>
  <c r="I18" i="2"/>
  <c r="H18" i="2"/>
  <c r="G18" i="2"/>
  <c r="H96" i="2" s="1"/>
  <c r="L96" i="2" s="1"/>
  <c r="N17" i="2"/>
  <c r="M17" i="2"/>
  <c r="L17" i="2"/>
  <c r="K17" i="2"/>
  <c r="J17" i="2"/>
  <c r="I17" i="2"/>
  <c r="I95" i="2" s="1"/>
  <c r="H17" i="2"/>
  <c r="G17" i="2"/>
  <c r="H95" i="2" s="1"/>
  <c r="L95" i="2" s="1"/>
  <c r="N16" i="2"/>
  <c r="M16" i="2"/>
  <c r="L16" i="2"/>
  <c r="K16" i="2"/>
  <c r="J16" i="2"/>
  <c r="I16" i="2"/>
  <c r="I94" i="2" s="1"/>
  <c r="Q100" i="2" s="1"/>
  <c r="H16" i="2"/>
  <c r="G16" i="2"/>
  <c r="H94" i="2" s="1"/>
  <c r="N15" i="2"/>
  <c r="M15" i="2"/>
  <c r="L15" i="2"/>
  <c r="K15" i="2"/>
  <c r="J15" i="2"/>
  <c r="I15" i="2"/>
  <c r="I93" i="2" s="1"/>
  <c r="Q99" i="2" s="1"/>
  <c r="H15" i="2"/>
  <c r="G15" i="2"/>
  <c r="H93" i="2" s="1"/>
  <c r="N14" i="2"/>
  <c r="M14" i="2"/>
  <c r="L14" i="2"/>
  <c r="K14" i="2"/>
  <c r="J14" i="2"/>
  <c r="I14" i="2"/>
  <c r="H14" i="2"/>
  <c r="G14" i="2"/>
  <c r="H92" i="2" s="1"/>
  <c r="N13" i="2"/>
  <c r="M13" i="2"/>
  <c r="L13" i="2"/>
  <c r="K13" i="2"/>
  <c r="J13" i="2"/>
  <c r="I13" i="2"/>
  <c r="I91" i="2" s="1"/>
  <c r="H13" i="2"/>
  <c r="G13" i="2"/>
  <c r="H91" i="2" s="1"/>
  <c r="N12" i="2"/>
  <c r="M12" i="2"/>
  <c r="L12" i="2"/>
  <c r="K12" i="2"/>
  <c r="J12" i="2"/>
  <c r="I12" i="2"/>
  <c r="I90" i="2" s="1"/>
  <c r="Q94" i="2" s="1"/>
  <c r="H12" i="2"/>
  <c r="G12" i="2"/>
  <c r="H90" i="2" s="1"/>
  <c r="N11" i="2"/>
  <c r="M11" i="2"/>
  <c r="L11" i="2"/>
  <c r="K11" i="2"/>
  <c r="J11" i="2"/>
  <c r="I11" i="2"/>
  <c r="I89" i="2" s="1"/>
  <c r="Q93" i="2" s="1"/>
  <c r="H11" i="2"/>
  <c r="G11" i="2"/>
  <c r="H89" i="2" s="1"/>
  <c r="N10" i="2"/>
  <c r="M10" i="2"/>
  <c r="L10" i="2"/>
  <c r="K10" i="2"/>
  <c r="J10" i="2"/>
  <c r="I10" i="2"/>
  <c r="H10" i="2"/>
  <c r="G10" i="2"/>
  <c r="H88" i="2" s="1"/>
  <c r="N9" i="2"/>
  <c r="M9" i="2"/>
  <c r="L9" i="2"/>
  <c r="K9" i="2"/>
  <c r="J9" i="2"/>
  <c r="I9" i="2"/>
  <c r="I87" i="2" s="1"/>
  <c r="H9" i="2"/>
  <c r="G9" i="2"/>
  <c r="H87" i="2" s="1"/>
  <c r="N8" i="2"/>
  <c r="M8" i="2"/>
  <c r="L8" i="2"/>
  <c r="K8" i="2"/>
  <c r="J8" i="2"/>
  <c r="I8" i="2"/>
  <c r="I86" i="2" s="1"/>
  <c r="H8" i="2"/>
  <c r="G8" i="2"/>
  <c r="H86" i="2" s="1"/>
  <c r="N7" i="2"/>
  <c r="M7" i="2"/>
  <c r="L7" i="2"/>
  <c r="K7" i="2"/>
  <c r="J7" i="2"/>
  <c r="I7" i="2"/>
  <c r="I85" i="2" s="1"/>
  <c r="Q89" i="2" s="1"/>
  <c r="H7" i="2"/>
  <c r="G7" i="2"/>
  <c r="H85" i="2" s="1"/>
  <c r="N6" i="2"/>
  <c r="M6" i="2"/>
  <c r="L6" i="2"/>
  <c r="K6" i="2"/>
  <c r="J6" i="2"/>
  <c r="I6" i="2"/>
  <c r="H6" i="2"/>
  <c r="G6" i="2"/>
  <c r="H84" i="2" s="1"/>
  <c r="N5" i="2"/>
  <c r="M5" i="2"/>
  <c r="L5" i="2"/>
  <c r="K5" i="2"/>
  <c r="J5" i="2"/>
  <c r="I5" i="2"/>
  <c r="I83" i="2" s="1"/>
  <c r="H5" i="2"/>
  <c r="G5" i="2"/>
  <c r="H83" i="2" s="1"/>
  <c r="W164" i="1"/>
  <c r="V164" i="1"/>
  <c r="S164" i="1"/>
  <c r="R164" i="1"/>
  <c r="O164" i="1"/>
  <c r="N164" i="1"/>
  <c r="K164" i="1"/>
  <c r="J164" i="1"/>
  <c r="G164" i="1"/>
  <c r="F164" i="1"/>
  <c r="C164" i="1"/>
  <c r="B164" i="1"/>
  <c r="W163" i="1"/>
  <c r="V163" i="1"/>
  <c r="S163" i="1"/>
  <c r="R163" i="1"/>
  <c r="O163" i="1"/>
  <c r="N163" i="1"/>
  <c r="K163" i="1"/>
  <c r="J163" i="1"/>
  <c r="G163" i="1"/>
  <c r="F163" i="1"/>
  <c r="C163" i="1"/>
  <c r="B163" i="1"/>
  <c r="W157" i="1"/>
  <c r="V157" i="1"/>
  <c r="S157" i="1"/>
  <c r="R157" i="1"/>
  <c r="O157" i="1"/>
  <c r="N157" i="1"/>
  <c r="K157" i="1"/>
  <c r="J157" i="1"/>
  <c r="G157" i="1"/>
  <c r="F157" i="1"/>
  <c r="C157" i="1"/>
  <c r="B157" i="1"/>
  <c r="W156" i="1"/>
  <c r="V156" i="1"/>
  <c r="S156" i="1"/>
  <c r="R156" i="1"/>
  <c r="O156" i="1"/>
  <c r="N156" i="1"/>
  <c r="K156" i="1"/>
  <c r="J156" i="1"/>
  <c r="G156" i="1"/>
  <c r="F156" i="1"/>
  <c r="C156" i="1"/>
  <c r="B156" i="1"/>
  <c r="Q148" i="1"/>
  <c r="P148" i="1"/>
  <c r="I148" i="1"/>
  <c r="H148" i="1"/>
  <c r="E148" i="1"/>
  <c r="O18" i="1" s="1"/>
  <c r="D148" i="1"/>
  <c r="Q147" i="1"/>
  <c r="P147" i="1"/>
  <c r="AD18" i="1" s="1"/>
  <c r="AH18" i="1" s="1"/>
  <c r="I147" i="1"/>
  <c r="H147" i="1"/>
  <c r="E147" i="1"/>
  <c r="D147" i="1"/>
  <c r="Y141" i="1"/>
  <c r="AP17" i="1" s="1"/>
  <c r="X141" i="1"/>
  <c r="W141" i="1"/>
  <c r="V141" i="1"/>
  <c r="AJ17" i="1" s="1"/>
  <c r="U141" i="1"/>
  <c r="T141" i="1"/>
  <c r="S141" i="1"/>
  <c r="R141" i="1"/>
  <c r="Q141" i="1"/>
  <c r="P141" i="1"/>
  <c r="O141" i="1"/>
  <c r="N141" i="1"/>
  <c r="AA17" i="1" s="1"/>
  <c r="M141" i="1"/>
  <c r="L141" i="1"/>
  <c r="K141" i="1"/>
  <c r="J141" i="1"/>
  <c r="I141" i="1"/>
  <c r="H141" i="1"/>
  <c r="G141" i="1"/>
  <c r="F141" i="1"/>
  <c r="E141" i="1"/>
  <c r="D141" i="1"/>
  <c r="C141" i="1"/>
  <c r="B141" i="1"/>
  <c r="Y140" i="1"/>
  <c r="AO17" i="1" s="1"/>
  <c r="X140" i="1"/>
  <c r="W140" i="1"/>
  <c r="V140" i="1"/>
  <c r="U140" i="1"/>
  <c r="T140" i="1"/>
  <c r="S140" i="1"/>
  <c r="R140" i="1"/>
  <c r="Q140" i="1"/>
  <c r="P140" i="1"/>
  <c r="O140" i="1"/>
  <c r="N140" i="1"/>
  <c r="Z17" i="1" s="1"/>
  <c r="M140" i="1"/>
  <c r="L140" i="1"/>
  <c r="K140" i="1"/>
  <c r="J140" i="1"/>
  <c r="I140" i="1"/>
  <c r="H140" i="1"/>
  <c r="G140" i="1"/>
  <c r="F140" i="1"/>
  <c r="E140" i="1"/>
  <c r="D140" i="1"/>
  <c r="C140" i="1"/>
  <c r="B140" i="1"/>
  <c r="Y134" i="1"/>
  <c r="AP16" i="1" s="1"/>
  <c r="X134" i="1"/>
  <c r="W134" i="1"/>
  <c r="V134" i="1"/>
  <c r="U134" i="1"/>
  <c r="T134" i="1"/>
  <c r="S134" i="1"/>
  <c r="R134" i="1"/>
  <c r="Q134" i="1"/>
  <c r="AG16" i="1" s="1"/>
  <c r="P134" i="1"/>
  <c r="O134" i="1"/>
  <c r="N134" i="1"/>
  <c r="M134" i="1"/>
  <c r="L134" i="1"/>
  <c r="K134" i="1"/>
  <c r="J134" i="1"/>
  <c r="I134" i="1"/>
  <c r="X16" i="1" s="1"/>
  <c r="H134" i="1"/>
  <c r="G134" i="1"/>
  <c r="F134" i="1"/>
  <c r="E134" i="1"/>
  <c r="D134" i="1"/>
  <c r="C134" i="1"/>
  <c r="B134" i="1"/>
  <c r="Y133" i="1"/>
  <c r="AO16" i="1" s="1"/>
  <c r="X133" i="1"/>
  <c r="W133" i="1"/>
  <c r="V133" i="1"/>
  <c r="AI16" i="1" s="1"/>
  <c r="U133" i="1"/>
  <c r="T133" i="1"/>
  <c r="S133" i="1"/>
  <c r="R133" i="1"/>
  <c r="Q133" i="1"/>
  <c r="AF16" i="1" s="1"/>
  <c r="P133" i="1"/>
  <c r="O133" i="1"/>
  <c r="N133" i="1"/>
  <c r="M133" i="1"/>
  <c r="L133" i="1"/>
  <c r="K133" i="1"/>
  <c r="J133" i="1"/>
  <c r="I133" i="1"/>
  <c r="W16" i="1" s="1"/>
  <c r="H133" i="1"/>
  <c r="G133" i="1"/>
  <c r="F133" i="1"/>
  <c r="E133" i="1"/>
  <c r="D133" i="1"/>
  <c r="C133" i="1"/>
  <c r="B133" i="1"/>
  <c r="Y127" i="1"/>
  <c r="AP15" i="1" s="1"/>
  <c r="X127" i="1"/>
  <c r="W127" i="1"/>
  <c r="V127" i="1"/>
  <c r="AJ15" i="1" s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Y126" i="1"/>
  <c r="AO15" i="1" s="1"/>
  <c r="X126" i="1"/>
  <c r="W126" i="1"/>
  <c r="V126" i="1"/>
  <c r="AI15" i="1" s="1"/>
  <c r="AQ15" i="1" s="1"/>
  <c r="L49" i="1" s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X14" i="1" s="1"/>
  <c r="H120" i="1"/>
  <c r="G120" i="1"/>
  <c r="F120" i="1"/>
  <c r="E120" i="1"/>
  <c r="D120" i="1"/>
  <c r="C120" i="1"/>
  <c r="B120" i="1"/>
  <c r="Y119" i="1"/>
  <c r="X119" i="1"/>
  <c r="W119" i="1"/>
  <c r="V119" i="1"/>
  <c r="AI14" i="1" s="1"/>
  <c r="AQ14" i="1" s="1"/>
  <c r="L48" i="1" s="1"/>
  <c r="U119" i="1"/>
  <c r="T119" i="1"/>
  <c r="S119" i="1"/>
  <c r="R119" i="1"/>
  <c r="Q119" i="1"/>
  <c r="AF14" i="1" s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Y113" i="1"/>
  <c r="AP13" i="1" s="1"/>
  <c r="X113" i="1"/>
  <c r="W113" i="1"/>
  <c r="V113" i="1"/>
  <c r="AJ13" i="1" s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Y112" i="1"/>
  <c r="AO13" i="1" s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Y106" i="1"/>
  <c r="X106" i="1"/>
  <c r="W106" i="1"/>
  <c r="V106" i="1"/>
  <c r="AJ12" i="1" s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Y105" i="1"/>
  <c r="AO12" i="1" s="1"/>
  <c r="X105" i="1"/>
  <c r="W105" i="1"/>
  <c r="V105" i="1"/>
  <c r="AI12" i="1" s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Y99" i="1"/>
  <c r="AP11" i="1" s="1"/>
  <c r="X99" i="1"/>
  <c r="W99" i="1"/>
  <c r="V99" i="1"/>
  <c r="AJ11" i="1" s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X11" i="1" s="1"/>
  <c r="H99" i="1"/>
  <c r="G99" i="1"/>
  <c r="F99" i="1"/>
  <c r="E99" i="1"/>
  <c r="D99" i="1"/>
  <c r="C99" i="1"/>
  <c r="B99" i="1"/>
  <c r="Y98" i="1"/>
  <c r="X98" i="1"/>
  <c r="W98" i="1"/>
  <c r="V98" i="1"/>
  <c r="AI11" i="1" s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Y92" i="1"/>
  <c r="X92" i="1"/>
  <c r="W92" i="1"/>
  <c r="V92" i="1"/>
  <c r="AJ10" i="1" s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Y91" i="1"/>
  <c r="AO10" i="1" s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Y85" i="1"/>
  <c r="AP9" i="1" s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Y84" i="1"/>
  <c r="AO9" i="1" s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Y78" i="1"/>
  <c r="X78" i="1"/>
  <c r="W78" i="1"/>
  <c r="V78" i="1"/>
  <c r="AJ8" i="1" s="1"/>
  <c r="U78" i="1"/>
  <c r="T78" i="1"/>
  <c r="S78" i="1"/>
  <c r="R78" i="1"/>
  <c r="Q78" i="1"/>
  <c r="AG8" i="1" s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Y77" i="1"/>
  <c r="AO8" i="1" s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N65" i="1"/>
  <c r="K65" i="1"/>
  <c r="J65" i="1"/>
  <c r="I65" i="1"/>
  <c r="J64" i="1"/>
  <c r="I63" i="1"/>
  <c r="I61" i="1"/>
  <c r="K60" i="1"/>
  <c r="K59" i="1"/>
  <c r="J58" i="1"/>
  <c r="J57" i="1"/>
  <c r="I54" i="1"/>
  <c r="K53" i="1"/>
  <c r="AW41" i="1"/>
  <c r="BD38" i="1"/>
  <c r="BA38" i="1"/>
  <c r="AT35" i="1"/>
  <c r="AR35" i="1"/>
  <c r="M65" i="1" s="1"/>
  <c r="BD33" i="1"/>
  <c r="BC33" i="1"/>
  <c r="AU33" i="1" s="1"/>
  <c r="BB33" i="1"/>
  <c r="BA33" i="1"/>
  <c r="AZ33" i="1"/>
  <c r="AZ40" i="1" s="1"/>
  <c r="AY33" i="1"/>
  <c r="AX33" i="1"/>
  <c r="AX40" i="1" s="1"/>
  <c r="AW33" i="1"/>
  <c r="AS33" i="1" s="1"/>
  <c r="AH33" i="1"/>
  <c r="K64" i="1" s="1"/>
  <c r="Y33" i="1"/>
  <c r="P33" i="1"/>
  <c r="BD32" i="1"/>
  <c r="BD40" i="1" s="1"/>
  <c r="BC32" i="1"/>
  <c r="BB32" i="1"/>
  <c r="BA32" i="1"/>
  <c r="BA40" i="1" s="1"/>
  <c r="AZ32" i="1"/>
  <c r="AY32" i="1"/>
  <c r="AY40" i="1" s="1"/>
  <c r="AX32" i="1"/>
  <c r="AW32" i="1"/>
  <c r="AW40" i="1" s="1"/>
  <c r="AS32" i="1"/>
  <c r="AH32" i="1"/>
  <c r="K63" i="1" s="1"/>
  <c r="Y32" i="1"/>
  <c r="P32" i="1"/>
  <c r="AR32" i="1" s="1"/>
  <c r="M63" i="1" s="1"/>
  <c r="BL30" i="1"/>
  <c r="BK30" i="1"/>
  <c r="BJ30" i="1"/>
  <c r="BI30" i="1"/>
  <c r="BH30" i="1"/>
  <c r="BG30" i="1"/>
  <c r="BF30" i="1"/>
  <c r="AU30" i="1" s="1"/>
  <c r="BE30" i="1"/>
  <c r="BD30" i="1"/>
  <c r="BC30" i="1"/>
  <c r="BB30" i="1"/>
  <c r="BA30" i="1"/>
  <c r="AZ30" i="1"/>
  <c r="AY30" i="1"/>
  <c r="AX30" i="1"/>
  <c r="AW30" i="1"/>
  <c r="AS30" i="1" s="1"/>
  <c r="AH30" i="1"/>
  <c r="K62" i="1" s="1"/>
  <c r="Y30" i="1"/>
  <c r="J62" i="1" s="1"/>
  <c r="P30" i="1"/>
  <c r="AR30" i="1" s="1"/>
  <c r="M62" i="1" s="1"/>
  <c r="BL29" i="1"/>
  <c r="BK29" i="1"/>
  <c r="BJ29" i="1"/>
  <c r="BI29" i="1"/>
  <c r="BH29" i="1"/>
  <c r="BG29" i="1"/>
  <c r="BF29" i="1"/>
  <c r="BE29" i="1"/>
  <c r="AU29" i="1" s="1"/>
  <c r="BD29" i="1"/>
  <c r="BC29" i="1"/>
  <c r="BB29" i="1"/>
  <c r="BA29" i="1"/>
  <c r="AZ29" i="1"/>
  <c r="AY29" i="1"/>
  <c r="AX29" i="1"/>
  <c r="AW29" i="1"/>
  <c r="AS29" i="1" s="1"/>
  <c r="AH29" i="1"/>
  <c r="AT29" i="1" s="1"/>
  <c r="N61" i="1" s="1"/>
  <c r="Y29" i="1"/>
  <c r="J61" i="1" s="1"/>
  <c r="P29" i="1"/>
  <c r="BL28" i="1"/>
  <c r="BK28" i="1"/>
  <c r="BJ28" i="1"/>
  <c r="BI28" i="1"/>
  <c r="BH28" i="1"/>
  <c r="BG28" i="1"/>
  <c r="AU28" i="1" s="1"/>
  <c r="BF28" i="1"/>
  <c r="BE28" i="1"/>
  <c r="BD28" i="1"/>
  <c r="BC28" i="1"/>
  <c r="BB28" i="1"/>
  <c r="BA28" i="1"/>
  <c r="AZ28" i="1"/>
  <c r="AY28" i="1"/>
  <c r="AS28" i="1" s="1"/>
  <c r="AX28" i="1"/>
  <c r="AW28" i="1"/>
  <c r="AH28" i="1"/>
  <c r="Y28" i="1"/>
  <c r="P28" i="1"/>
  <c r="I60" i="1" s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T27" i="1"/>
  <c r="AR27" i="1"/>
  <c r="AH27" i="1"/>
  <c r="Y27" i="1"/>
  <c r="J59" i="1" s="1"/>
  <c r="P27" i="1"/>
  <c r="I59" i="1" s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S26" i="1" s="1"/>
  <c r="AY26" i="1"/>
  <c r="AX26" i="1"/>
  <c r="AW26" i="1"/>
  <c r="AH26" i="1"/>
  <c r="K58" i="1" s="1"/>
  <c r="Y26" i="1"/>
  <c r="P26" i="1"/>
  <c r="I58" i="1" s="1"/>
  <c r="BL25" i="1"/>
  <c r="BK25" i="1"/>
  <c r="BJ25" i="1"/>
  <c r="BI25" i="1"/>
  <c r="BH25" i="1"/>
  <c r="BG25" i="1"/>
  <c r="BF25" i="1"/>
  <c r="BE25" i="1"/>
  <c r="BD25" i="1"/>
  <c r="BC25" i="1"/>
  <c r="BB25" i="1"/>
  <c r="BA25" i="1"/>
  <c r="BA39" i="1" s="1"/>
  <c r="AZ25" i="1"/>
  <c r="AY25" i="1"/>
  <c r="AX25" i="1"/>
  <c r="AW25" i="1"/>
  <c r="AU25" i="1"/>
  <c r="AR25" i="1"/>
  <c r="AH25" i="1"/>
  <c r="K57" i="1" s="1"/>
  <c r="Y25" i="1"/>
  <c r="AT25" i="1" s="1"/>
  <c r="N57" i="1" s="1"/>
  <c r="P25" i="1"/>
  <c r="I57" i="1" s="1"/>
  <c r="BL24" i="1"/>
  <c r="BK24" i="1"/>
  <c r="BJ24" i="1"/>
  <c r="BI24" i="1"/>
  <c r="BH24" i="1"/>
  <c r="BG24" i="1"/>
  <c r="BF24" i="1"/>
  <c r="BE24" i="1"/>
  <c r="AU24" i="1" s="1"/>
  <c r="BD24" i="1"/>
  <c r="BC24" i="1"/>
  <c r="BB24" i="1"/>
  <c r="BA24" i="1"/>
  <c r="AZ24" i="1"/>
  <c r="AY24" i="1"/>
  <c r="AX24" i="1"/>
  <c r="AX39" i="1" s="1"/>
  <c r="AW24" i="1"/>
  <c r="AS24" i="1" s="1"/>
  <c r="AT24" i="1"/>
  <c r="N56" i="1" s="1"/>
  <c r="AH24" i="1"/>
  <c r="K55" i="1" s="1"/>
  <c r="Y24" i="1"/>
  <c r="J55" i="1" s="1"/>
  <c r="P24" i="1"/>
  <c r="AR24" i="1" s="1"/>
  <c r="M56" i="1" s="1"/>
  <c r="BL23" i="1"/>
  <c r="BK23" i="1"/>
  <c r="BJ23" i="1"/>
  <c r="BI23" i="1"/>
  <c r="BH23" i="1"/>
  <c r="BG23" i="1"/>
  <c r="BF23" i="1"/>
  <c r="BE23" i="1"/>
  <c r="AU23" i="1" s="1"/>
  <c r="BD23" i="1"/>
  <c r="BD39" i="1" s="1"/>
  <c r="BC23" i="1"/>
  <c r="BB23" i="1"/>
  <c r="BA23" i="1"/>
  <c r="AZ23" i="1"/>
  <c r="AY23" i="1"/>
  <c r="AX23" i="1"/>
  <c r="AW23" i="1"/>
  <c r="AW39" i="1" s="1"/>
  <c r="AH23" i="1"/>
  <c r="K56" i="1" s="1"/>
  <c r="Y23" i="1"/>
  <c r="AT23" i="1" s="1"/>
  <c r="P23" i="1"/>
  <c r="AR23" i="1" s="1"/>
  <c r="BL21" i="1"/>
  <c r="BK21" i="1"/>
  <c r="BJ21" i="1"/>
  <c r="BI21" i="1"/>
  <c r="BH21" i="1"/>
  <c r="BG21" i="1"/>
  <c r="BF21" i="1"/>
  <c r="AU21" i="1" s="1"/>
  <c r="BE21" i="1"/>
  <c r="BD21" i="1"/>
  <c r="BC21" i="1"/>
  <c r="BB21" i="1"/>
  <c r="BA21" i="1"/>
  <c r="AZ21" i="1"/>
  <c r="AZ38" i="1" s="1"/>
  <c r="AY21" i="1"/>
  <c r="AX21" i="1"/>
  <c r="AW21" i="1"/>
  <c r="AS21" i="1" s="1"/>
  <c r="AT21" i="1"/>
  <c r="AR21" i="1"/>
  <c r="M54" i="1" s="1"/>
  <c r="AH21" i="1"/>
  <c r="K54" i="1" s="1"/>
  <c r="Y21" i="1"/>
  <c r="J54" i="1" s="1"/>
  <c r="P21" i="1"/>
  <c r="BL20" i="1"/>
  <c r="BK20" i="1"/>
  <c r="BJ20" i="1"/>
  <c r="BG20" i="1"/>
  <c r="BF20" i="1"/>
  <c r="BE20" i="1"/>
  <c r="BD20" i="1"/>
  <c r="BC20" i="1"/>
  <c r="BB20" i="1"/>
  <c r="BB38" i="1" s="1"/>
  <c r="AY20" i="1"/>
  <c r="AY38" i="1" s="1"/>
  <c r="AX20" i="1"/>
  <c r="AW20" i="1"/>
  <c r="AU20" i="1"/>
  <c r="AH20" i="1"/>
  <c r="Y20" i="1"/>
  <c r="P20" i="1"/>
  <c r="AR20" i="1" s="1"/>
  <c r="AG18" i="1"/>
  <c r="AF18" i="1"/>
  <c r="AE18" i="1"/>
  <c r="Y18" i="1"/>
  <c r="X18" i="1"/>
  <c r="W18" i="1"/>
  <c r="V18" i="1"/>
  <c r="U18" i="1"/>
  <c r="P18" i="1"/>
  <c r="I52" i="1" s="1"/>
  <c r="N18" i="1"/>
  <c r="M18" i="1"/>
  <c r="L18" i="1"/>
  <c r="AQ17" i="1"/>
  <c r="L51" i="1" s="1"/>
  <c r="AN17" i="1"/>
  <c r="AM17" i="1"/>
  <c r="AL17" i="1"/>
  <c r="AK17" i="1"/>
  <c r="AI17" i="1"/>
  <c r="AG17" i="1"/>
  <c r="AF17" i="1"/>
  <c r="AE17" i="1"/>
  <c r="AD17" i="1"/>
  <c r="AC17" i="1"/>
  <c r="AB17" i="1"/>
  <c r="X17" i="1"/>
  <c r="W17" i="1"/>
  <c r="V17" i="1"/>
  <c r="U17" i="1"/>
  <c r="AZ17" i="1" s="1"/>
  <c r="T17" i="1"/>
  <c r="S17" i="1"/>
  <c r="R17" i="1"/>
  <c r="Q17" i="1"/>
  <c r="P17" i="1"/>
  <c r="O17" i="1"/>
  <c r="N17" i="1"/>
  <c r="M17" i="1"/>
  <c r="L17" i="1"/>
  <c r="AX17" i="1" s="1"/>
  <c r="K17" i="1"/>
  <c r="J17" i="1"/>
  <c r="H17" i="1"/>
  <c r="AW17" i="1" s="1"/>
  <c r="AS17" i="1" s="1"/>
  <c r="AY16" i="1"/>
  <c r="AN16" i="1"/>
  <c r="AM16" i="1"/>
  <c r="AX16" i="1" s="1"/>
  <c r="AL16" i="1"/>
  <c r="AK16" i="1"/>
  <c r="AJ16" i="1"/>
  <c r="AH16" i="1"/>
  <c r="K50" i="1" s="1"/>
  <c r="AE16" i="1"/>
  <c r="AD16" i="1"/>
  <c r="AC16" i="1"/>
  <c r="AB16" i="1"/>
  <c r="AA16" i="1"/>
  <c r="Z16" i="1"/>
  <c r="Y16" i="1"/>
  <c r="V16" i="1"/>
  <c r="U16" i="1"/>
  <c r="T16" i="1"/>
  <c r="S16" i="1"/>
  <c r="R16" i="1"/>
  <c r="Q16" i="1"/>
  <c r="O16" i="1"/>
  <c r="N16" i="1"/>
  <c r="M16" i="1"/>
  <c r="L16" i="1"/>
  <c r="K16" i="1"/>
  <c r="J16" i="1"/>
  <c r="I16" i="1"/>
  <c r="H16" i="1"/>
  <c r="AW16" i="1" s="1"/>
  <c r="AZ15" i="1"/>
  <c r="AN15" i="1"/>
  <c r="AM15" i="1"/>
  <c r="AL15" i="1"/>
  <c r="AK15" i="1"/>
  <c r="AG15" i="1"/>
  <c r="AF15" i="1"/>
  <c r="AE15" i="1"/>
  <c r="AD15" i="1"/>
  <c r="AX15" i="1" s="1"/>
  <c r="AC15" i="1"/>
  <c r="AB15" i="1"/>
  <c r="AA15" i="1"/>
  <c r="Z15" i="1"/>
  <c r="X15" i="1"/>
  <c r="W15" i="1"/>
  <c r="V15" i="1"/>
  <c r="U15" i="1"/>
  <c r="T15" i="1"/>
  <c r="S15" i="1"/>
  <c r="R15" i="1"/>
  <c r="Q15" i="1"/>
  <c r="O15" i="1"/>
  <c r="N15" i="1"/>
  <c r="M15" i="1"/>
  <c r="L15" i="1"/>
  <c r="K15" i="1"/>
  <c r="J15" i="1"/>
  <c r="I15" i="1"/>
  <c r="H15" i="1"/>
  <c r="AW15" i="1" s="1"/>
  <c r="AS15" i="1" s="1"/>
  <c r="AX14" i="1"/>
  <c r="AP14" i="1"/>
  <c r="AO14" i="1"/>
  <c r="AN14" i="1"/>
  <c r="AM14" i="1"/>
  <c r="AL14" i="1"/>
  <c r="AK14" i="1"/>
  <c r="AJ14" i="1"/>
  <c r="AG14" i="1"/>
  <c r="AE14" i="1"/>
  <c r="AD14" i="1"/>
  <c r="AC14" i="1"/>
  <c r="AB14" i="1"/>
  <c r="AA14" i="1"/>
  <c r="Z14" i="1"/>
  <c r="AH14" i="1" s="1"/>
  <c r="K48" i="1" s="1"/>
  <c r="W14" i="1"/>
  <c r="V14" i="1"/>
  <c r="U14" i="1"/>
  <c r="AZ14" i="1" s="1"/>
  <c r="T14" i="1"/>
  <c r="S14" i="1"/>
  <c r="R14" i="1"/>
  <c r="Q14" i="1"/>
  <c r="AY14" i="1" s="1"/>
  <c r="AU14" i="1" s="1"/>
  <c r="O14" i="1"/>
  <c r="N14" i="1"/>
  <c r="M14" i="1"/>
  <c r="L14" i="1"/>
  <c r="K14" i="1"/>
  <c r="J14" i="1"/>
  <c r="I14" i="1"/>
  <c r="H14" i="1"/>
  <c r="AW14" i="1" s="1"/>
  <c r="AS14" i="1" s="1"/>
  <c r="AZ13" i="1"/>
  <c r="AN13" i="1"/>
  <c r="AM13" i="1"/>
  <c r="AL13" i="1"/>
  <c r="AK13" i="1"/>
  <c r="AI13" i="1"/>
  <c r="AQ13" i="1" s="1"/>
  <c r="L47" i="1" s="1"/>
  <c r="AG13" i="1"/>
  <c r="AF13" i="1"/>
  <c r="AE13" i="1"/>
  <c r="AD13" i="1"/>
  <c r="AX13" i="1" s="1"/>
  <c r="AC13" i="1"/>
  <c r="AB13" i="1"/>
  <c r="AA13" i="1"/>
  <c r="Z13" i="1"/>
  <c r="AH13" i="1" s="1"/>
  <c r="K47" i="1" s="1"/>
  <c r="X13" i="1"/>
  <c r="W13" i="1"/>
  <c r="V13" i="1"/>
  <c r="U13" i="1"/>
  <c r="T13" i="1"/>
  <c r="S13" i="1"/>
  <c r="R13" i="1"/>
  <c r="Q13" i="1"/>
  <c r="AY13" i="1" s="1"/>
  <c r="AU13" i="1" s="1"/>
  <c r="P13" i="1"/>
  <c r="O13" i="1"/>
  <c r="N13" i="1"/>
  <c r="M13" i="1"/>
  <c r="L13" i="1"/>
  <c r="K13" i="1"/>
  <c r="J13" i="1"/>
  <c r="I13" i="1"/>
  <c r="H13" i="1"/>
  <c r="AW13" i="1" s="1"/>
  <c r="AS13" i="1" s="1"/>
  <c r="AP12" i="1"/>
  <c r="AN12" i="1"/>
  <c r="AM12" i="1"/>
  <c r="AL12" i="1"/>
  <c r="AK12" i="1"/>
  <c r="AH12" i="1"/>
  <c r="K46" i="1" s="1"/>
  <c r="AG12" i="1"/>
  <c r="AF12" i="1"/>
  <c r="AE12" i="1"/>
  <c r="AD12" i="1"/>
  <c r="AC12" i="1"/>
  <c r="AB12" i="1"/>
  <c r="AA12" i="1"/>
  <c r="Z12" i="1"/>
  <c r="Y12" i="1"/>
  <c r="J46" i="1" s="1"/>
  <c r="X12" i="1"/>
  <c r="W12" i="1"/>
  <c r="V12" i="1"/>
  <c r="U12" i="1"/>
  <c r="T12" i="1"/>
  <c r="S12" i="1"/>
  <c r="R12" i="1"/>
  <c r="Q12" i="1"/>
  <c r="AY12" i="1" s="1"/>
  <c r="O12" i="1"/>
  <c r="N12" i="1"/>
  <c r="M12" i="1"/>
  <c r="L12" i="1"/>
  <c r="AX12" i="1" s="1"/>
  <c r="K12" i="1"/>
  <c r="J12" i="1"/>
  <c r="I12" i="1"/>
  <c r="H12" i="1"/>
  <c r="AW12" i="1" s="1"/>
  <c r="AO11" i="1"/>
  <c r="AN11" i="1"/>
  <c r="AM11" i="1"/>
  <c r="AL11" i="1"/>
  <c r="AK11" i="1"/>
  <c r="AG11" i="1"/>
  <c r="AF11" i="1"/>
  <c r="AE11" i="1"/>
  <c r="AD11" i="1"/>
  <c r="AC11" i="1"/>
  <c r="AB11" i="1"/>
  <c r="AA11" i="1"/>
  <c r="Z11" i="1"/>
  <c r="W11" i="1"/>
  <c r="V11" i="1"/>
  <c r="U11" i="1"/>
  <c r="AZ11" i="1" s="1"/>
  <c r="T11" i="1"/>
  <c r="S11" i="1"/>
  <c r="R11" i="1"/>
  <c r="Q11" i="1"/>
  <c r="O11" i="1"/>
  <c r="N11" i="1"/>
  <c r="M11" i="1"/>
  <c r="L11" i="1"/>
  <c r="AX11" i="1" s="1"/>
  <c r="K11" i="1"/>
  <c r="J11" i="1"/>
  <c r="I11" i="1"/>
  <c r="H11" i="1"/>
  <c r="P11" i="1" s="1"/>
  <c r="AP10" i="1"/>
  <c r="AN10" i="1"/>
  <c r="AM10" i="1"/>
  <c r="AQ10" i="1" s="1"/>
  <c r="L44" i="1" s="1"/>
  <c r="AL10" i="1"/>
  <c r="AK10" i="1"/>
  <c r="AI10" i="1"/>
  <c r="AG10" i="1"/>
  <c r="AF10" i="1"/>
  <c r="AE10" i="1"/>
  <c r="AD10" i="1"/>
  <c r="AC10" i="1"/>
  <c r="AB10" i="1"/>
  <c r="AA10" i="1"/>
  <c r="Z10" i="1"/>
  <c r="AY10" i="1" s="1"/>
  <c r="X10" i="1"/>
  <c r="W10" i="1"/>
  <c r="V10" i="1"/>
  <c r="U10" i="1"/>
  <c r="T10" i="1"/>
  <c r="S10" i="1"/>
  <c r="R10" i="1"/>
  <c r="Q10" i="1"/>
  <c r="Y10" i="1" s="1"/>
  <c r="O10" i="1"/>
  <c r="N10" i="1"/>
  <c r="M10" i="1"/>
  <c r="L10" i="1"/>
  <c r="K10" i="1"/>
  <c r="J10" i="1"/>
  <c r="I10" i="1"/>
  <c r="H10" i="1"/>
  <c r="AW10" i="1" s="1"/>
  <c r="AZ9" i="1"/>
  <c r="AQ9" i="1"/>
  <c r="L43" i="1" s="1"/>
  <c r="AN9" i="1"/>
  <c r="AM9" i="1"/>
  <c r="AL9" i="1"/>
  <c r="AK9" i="1"/>
  <c r="AJ9" i="1"/>
  <c r="AI9" i="1"/>
  <c r="AG9" i="1"/>
  <c r="AF9" i="1"/>
  <c r="AE9" i="1"/>
  <c r="AD9" i="1"/>
  <c r="AC9" i="1"/>
  <c r="AB9" i="1"/>
  <c r="AA9" i="1"/>
  <c r="Z9" i="1"/>
  <c r="AH9" i="1" s="1"/>
  <c r="K43" i="1" s="1"/>
  <c r="X9" i="1"/>
  <c r="W9" i="1"/>
  <c r="V9" i="1"/>
  <c r="U9" i="1"/>
  <c r="T9" i="1"/>
  <c r="S9" i="1"/>
  <c r="R9" i="1"/>
  <c r="Q9" i="1"/>
  <c r="AY9" i="1" s="1"/>
  <c r="AU9" i="1" s="1"/>
  <c r="O9" i="1"/>
  <c r="N9" i="1"/>
  <c r="M9" i="1"/>
  <c r="L9" i="1"/>
  <c r="AX9" i="1" s="1"/>
  <c r="K9" i="1"/>
  <c r="J9" i="1"/>
  <c r="I9" i="1"/>
  <c r="H9" i="1"/>
  <c r="AW9" i="1" s="1"/>
  <c r="AS9" i="1" s="1"/>
  <c r="AP8" i="1"/>
  <c r="AN8" i="1"/>
  <c r="AM8" i="1"/>
  <c r="AZ8" i="1" s="1"/>
  <c r="AL8" i="1"/>
  <c r="AK8" i="1"/>
  <c r="AI8" i="1"/>
  <c r="AQ8" i="1" s="1"/>
  <c r="L42" i="1" s="1"/>
  <c r="AF8" i="1"/>
  <c r="AE8" i="1"/>
  <c r="AD8" i="1"/>
  <c r="AC8" i="1"/>
  <c r="AB8" i="1"/>
  <c r="AA8" i="1"/>
  <c r="Z8" i="1"/>
  <c r="AY8" i="1" s="1"/>
  <c r="X8" i="1"/>
  <c r="W8" i="1"/>
  <c r="V8" i="1"/>
  <c r="U8" i="1"/>
  <c r="T8" i="1"/>
  <c r="S8" i="1"/>
  <c r="R8" i="1"/>
  <c r="Q8" i="1"/>
  <c r="Y8" i="1" s="1"/>
  <c r="O8" i="1"/>
  <c r="N8" i="1"/>
  <c r="M8" i="1"/>
  <c r="L8" i="1"/>
  <c r="K8" i="1"/>
  <c r="J8" i="1"/>
  <c r="I8" i="1"/>
  <c r="H8" i="1"/>
  <c r="AW8" i="1" s="1"/>
  <c r="AL5" i="1"/>
  <c r="AK5" i="1"/>
  <c r="AJ5" i="1"/>
  <c r="AI5" i="1"/>
  <c r="AQ5" i="1" s="1"/>
  <c r="L41" i="1" s="1"/>
  <c r="AH5" i="1"/>
  <c r="K41" i="1" s="1"/>
  <c r="AC5" i="1"/>
  <c r="AB5" i="1"/>
  <c r="AA5" i="1"/>
  <c r="Z5" i="1"/>
  <c r="T5" i="1"/>
  <c r="S5" i="1"/>
  <c r="R5" i="1"/>
  <c r="Q5" i="1"/>
  <c r="Y5" i="1" s="1"/>
  <c r="K5" i="1"/>
  <c r="J5" i="1"/>
  <c r="I5" i="1"/>
  <c r="H5" i="1"/>
  <c r="P5" i="1" s="1"/>
  <c r="AQ4" i="1"/>
  <c r="L40" i="1" s="1"/>
  <c r="AL4" i="1"/>
  <c r="AK4" i="1"/>
  <c r="AJ4" i="1"/>
  <c r="AI4" i="1"/>
  <c r="AH4" i="1"/>
  <c r="K40" i="1" s="1"/>
  <c r="AC4" i="1"/>
  <c r="AB4" i="1"/>
  <c r="AA4" i="1"/>
  <c r="Z4" i="1"/>
  <c r="T4" i="1"/>
  <c r="S4" i="1"/>
  <c r="R4" i="1"/>
  <c r="Q4" i="1"/>
  <c r="Y4" i="1" s="1"/>
  <c r="P4" i="1"/>
  <c r="I40" i="1" s="1"/>
  <c r="K4" i="1"/>
  <c r="J4" i="1"/>
  <c r="I4" i="1"/>
  <c r="H4" i="1"/>
  <c r="J41" i="1" l="1"/>
  <c r="AT5" i="1"/>
  <c r="N41" i="1" s="1"/>
  <c r="AQ11" i="1"/>
  <c r="L45" i="1" s="1"/>
  <c r="AW11" i="1"/>
  <c r="AS11" i="1" s="1"/>
  <c r="K52" i="1"/>
  <c r="AR18" i="1"/>
  <c r="M52" i="1" s="1"/>
  <c r="J44" i="1"/>
  <c r="AU10" i="1"/>
  <c r="I41" i="1"/>
  <c r="AR5" i="1"/>
  <c r="M41" i="1" s="1"/>
  <c r="J42" i="1"/>
  <c r="AT8" i="1"/>
  <c r="AU8" i="1"/>
  <c r="J40" i="1"/>
  <c r="AT4" i="1"/>
  <c r="N40" i="1" s="1"/>
  <c r="I45" i="1"/>
  <c r="AR4" i="1"/>
  <c r="M40" i="1" s="1"/>
  <c r="P8" i="1"/>
  <c r="P10" i="1"/>
  <c r="AS16" i="1"/>
  <c r="N54" i="1"/>
  <c r="AS25" i="1"/>
  <c r="AT32" i="1"/>
  <c r="J63" i="1"/>
  <c r="BB40" i="1"/>
  <c r="AU32" i="1"/>
  <c r="I53" i="1"/>
  <c r="K61" i="1"/>
  <c r="Q96" i="2"/>
  <c r="Q88" i="2"/>
  <c r="Q84" i="2"/>
  <c r="AX8" i="1"/>
  <c r="AS8" i="1" s="1"/>
  <c r="AX10" i="1"/>
  <c r="AS10" i="1" s="1"/>
  <c r="Y14" i="1"/>
  <c r="AS20" i="1"/>
  <c r="M53" i="1" s="1"/>
  <c r="AY39" i="1"/>
  <c r="AT26" i="1"/>
  <c r="AX38" i="1"/>
  <c r="I62" i="1"/>
  <c r="Q109" i="2"/>
  <c r="Q95" i="2"/>
  <c r="Q87" i="2"/>
  <c r="Q83" i="2"/>
  <c r="Q101" i="2"/>
  <c r="Q90" i="2"/>
  <c r="Q86" i="2"/>
  <c r="Q111" i="2"/>
  <c r="Q103" i="2"/>
  <c r="Q91" i="2"/>
  <c r="Q113" i="2"/>
  <c r="Q105" i="2"/>
  <c r="Q115" i="2"/>
  <c r="Q107" i="2"/>
  <c r="S110" i="2"/>
  <c r="S102" i="2"/>
  <c r="S89" i="2"/>
  <c r="S85" i="2"/>
  <c r="S90" i="2"/>
  <c r="S86" i="2"/>
  <c r="S112" i="2"/>
  <c r="S104" i="2"/>
  <c r="S98" i="2"/>
  <c r="S114" i="2"/>
  <c r="S106" i="2"/>
  <c r="S99" i="2"/>
  <c r="S115" i="2"/>
  <c r="S107" i="2"/>
  <c r="S116" i="2"/>
  <c r="S108" i="2"/>
  <c r="S84" i="2"/>
  <c r="S113" i="2"/>
  <c r="S105" i="2"/>
  <c r="S97" i="2"/>
  <c r="Q97" i="2"/>
  <c r="Q108" i="2"/>
  <c r="Q85" i="2"/>
  <c r="Q98" i="2"/>
  <c r="Q110" i="2"/>
  <c r="AR13" i="1"/>
  <c r="M47" i="1" s="1"/>
  <c r="AH8" i="1"/>
  <c r="K42" i="1" s="1"/>
  <c r="AH10" i="1"/>
  <c r="K44" i="1" s="1"/>
  <c r="AZ39" i="1"/>
  <c r="AU27" i="1"/>
  <c r="N59" i="1" s="1"/>
  <c r="J60" i="1"/>
  <c r="AT28" i="1"/>
  <c r="N60" i="1" s="1"/>
  <c r="J50" i="1"/>
  <c r="AZ10" i="1"/>
  <c r="P9" i="1"/>
  <c r="AZ16" i="1"/>
  <c r="AU16" i="1" s="1"/>
  <c r="AY17" i="1"/>
  <c r="AU17" i="1" s="1"/>
  <c r="AT20" i="1"/>
  <c r="J53" i="1"/>
  <c r="BC38" i="1"/>
  <c r="BB39" i="1"/>
  <c r="AU26" i="1"/>
  <c r="I51" i="1"/>
  <c r="I55" i="1"/>
  <c r="S111" i="2"/>
  <c r="S103" i="2"/>
  <c r="S91" i="2"/>
  <c r="Q114" i="2"/>
  <c r="AS27" i="1"/>
  <c r="M59" i="1" s="1"/>
  <c r="N55" i="1"/>
  <c r="Y9" i="1"/>
  <c r="AY11" i="1"/>
  <c r="AU11" i="1" s="1"/>
  <c r="Y11" i="1"/>
  <c r="P15" i="1"/>
  <c r="AT18" i="1"/>
  <c r="N52" i="1" s="1"/>
  <c r="J52" i="1"/>
  <c r="AS23" i="1"/>
  <c r="M55" i="1" s="1"/>
  <c r="BC39" i="1"/>
  <c r="AW43" i="1" s="1"/>
  <c r="M94" i="2"/>
  <c r="AS12" i="1"/>
  <c r="AR33" i="1"/>
  <c r="M64" i="1" s="1"/>
  <c r="I64" i="1"/>
  <c r="I47" i="1"/>
  <c r="AH11" i="1"/>
  <c r="K45" i="1" s="1"/>
  <c r="AZ12" i="1"/>
  <c r="AU12" i="1" s="1"/>
  <c r="AY15" i="1"/>
  <c r="AU15" i="1" s="1"/>
  <c r="AH15" i="1"/>
  <c r="K49" i="1" s="1"/>
  <c r="M57" i="1"/>
  <c r="AR29" i="1"/>
  <c r="M61" i="1" s="1"/>
  <c r="AT33" i="1"/>
  <c r="N64" i="1" s="1"/>
  <c r="BC40" i="1"/>
  <c r="J56" i="1"/>
  <c r="S88" i="2"/>
  <c r="Q102" i="2"/>
  <c r="AQ12" i="1"/>
  <c r="L46" i="1" s="1"/>
  <c r="AQ16" i="1"/>
  <c r="L50" i="1" s="1"/>
  <c r="AH17" i="1"/>
  <c r="K51" i="1" s="1"/>
  <c r="P109" i="2"/>
  <c r="P95" i="2"/>
  <c r="P87" i="2"/>
  <c r="P83" i="2"/>
  <c r="P101" i="2"/>
  <c r="L83" i="2"/>
  <c r="P96" i="2"/>
  <c r="P88" i="2"/>
  <c r="P84" i="2"/>
  <c r="L84" i="2"/>
  <c r="P110" i="2"/>
  <c r="P102" i="2"/>
  <c r="L85" i="2"/>
  <c r="P89" i="2"/>
  <c r="P85" i="2"/>
  <c r="P90" i="2"/>
  <c r="P86" i="2"/>
  <c r="L86" i="2"/>
  <c r="P111" i="2"/>
  <c r="P103" i="2"/>
  <c r="P91" i="2"/>
  <c r="L87" i="2"/>
  <c r="P92" i="2"/>
  <c r="L88" i="2"/>
  <c r="P112" i="2"/>
  <c r="P104" i="2"/>
  <c r="L89" i="2"/>
  <c r="P93" i="2"/>
  <c r="P94" i="2"/>
  <c r="L90" i="2"/>
  <c r="P113" i="2"/>
  <c r="P105" i="2"/>
  <c r="L91" i="2"/>
  <c r="P97" i="2"/>
  <c r="L92" i="2"/>
  <c r="P98" i="2"/>
  <c r="P114" i="2"/>
  <c r="P106" i="2"/>
  <c r="L93" i="2"/>
  <c r="P99" i="2"/>
  <c r="P100" i="2"/>
  <c r="L94" i="2"/>
  <c r="L97" i="2"/>
  <c r="P115" i="2"/>
  <c r="P107" i="2"/>
  <c r="P116" i="2"/>
  <c r="P108" i="2"/>
  <c r="L98" i="2"/>
  <c r="R109" i="2"/>
  <c r="R95" i="2"/>
  <c r="R87" i="2"/>
  <c r="R83" i="2"/>
  <c r="R101" i="2"/>
  <c r="M83" i="2"/>
  <c r="M84" i="2"/>
  <c r="R110" i="2"/>
  <c r="R102" i="2"/>
  <c r="R96" i="2"/>
  <c r="R88" i="2"/>
  <c r="R84" i="2"/>
  <c r="M85" i="2"/>
  <c r="R89" i="2"/>
  <c r="R85" i="2"/>
  <c r="R90" i="2"/>
  <c r="R86" i="2"/>
  <c r="R111" i="2"/>
  <c r="R103" i="2"/>
  <c r="R91" i="2"/>
  <c r="M87" i="2"/>
  <c r="M88" i="2"/>
  <c r="R112" i="2"/>
  <c r="R104" i="2"/>
  <c r="R92" i="2"/>
  <c r="M89" i="2"/>
  <c r="R93" i="2"/>
  <c r="R113" i="2"/>
  <c r="R105" i="2"/>
  <c r="M91" i="2"/>
  <c r="R97" i="2"/>
  <c r="M92" i="2"/>
  <c r="R98" i="2"/>
  <c r="R114" i="2"/>
  <c r="R106" i="2"/>
  <c r="M93" i="2"/>
  <c r="R99" i="2"/>
  <c r="M97" i="2"/>
  <c r="R115" i="2"/>
  <c r="R107" i="2"/>
  <c r="R116" i="2"/>
  <c r="R108" i="2"/>
  <c r="M99" i="2"/>
  <c r="M100" i="2"/>
  <c r="S109" i="2"/>
  <c r="S95" i="2"/>
  <c r="S87" i="2"/>
  <c r="S83" i="2"/>
  <c r="S101" i="2"/>
  <c r="Q104" i="2"/>
  <c r="AR28" i="1"/>
  <c r="M60" i="1" s="1"/>
  <c r="AT30" i="1"/>
  <c r="N62" i="1" s="1"/>
  <c r="I56" i="1"/>
  <c r="AR26" i="1"/>
  <c r="M58" i="1" s="1"/>
  <c r="Y13" i="1"/>
  <c r="Y15" i="1"/>
  <c r="Y17" i="1"/>
  <c r="P12" i="1"/>
  <c r="P14" i="1"/>
  <c r="P16" i="1"/>
  <c r="I43" i="1" l="1"/>
  <c r="AR9" i="1"/>
  <c r="M43" i="1" s="1"/>
  <c r="T41" i="1"/>
  <c r="I50" i="1"/>
  <c r="AR16" i="1"/>
  <c r="M50" i="1" s="1"/>
  <c r="AT12" i="1"/>
  <c r="AA40" i="1"/>
  <c r="N42" i="1"/>
  <c r="W41" i="1"/>
  <c r="I46" i="1"/>
  <c r="AR12" i="1"/>
  <c r="AR17" i="1"/>
  <c r="M51" i="1" s="1"/>
  <c r="N63" i="1"/>
  <c r="V41" i="1"/>
  <c r="J51" i="1"/>
  <c r="AT17" i="1"/>
  <c r="N51" i="1" s="1"/>
  <c r="AR15" i="1"/>
  <c r="M49" i="1" s="1"/>
  <c r="I49" i="1"/>
  <c r="N58" i="1"/>
  <c r="I48" i="1"/>
  <c r="AR14" i="1"/>
  <c r="M48" i="1" s="1"/>
  <c r="AT15" i="1"/>
  <c r="N49" i="1" s="1"/>
  <c r="J49" i="1"/>
  <c r="J45" i="1"/>
  <c r="AT11" i="1"/>
  <c r="N45" i="1" s="1"/>
  <c r="AR11" i="1"/>
  <c r="M45" i="1" s="1"/>
  <c r="U41" i="1"/>
  <c r="J47" i="1"/>
  <c r="AT13" i="1"/>
  <c r="N47" i="1" s="1"/>
  <c r="AT16" i="1"/>
  <c r="N50" i="1" s="1"/>
  <c r="I42" i="1"/>
  <c r="AR8" i="1"/>
  <c r="N53" i="1"/>
  <c r="AC41" i="1"/>
  <c r="AB41" i="1"/>
  <c r="Z41" i="1"/>
  <c r="AA41" i="1"/>
  <c r="J43" i="1"/>
  <c r="AT9" i="1"/>
  <c r="N43" i="1" s="1"/>
  <c r="J48" i="1"/>
  <c r="AT14" i="1"/>
  <c r="N48" i="1" s="1"/>
  <c r="I44" i="1"/>
  <c r="AR10" i="1"/>
  <c r="M44" i="1" s="1"/>
  <c r="AT10" i="1"/>
  <c r="N44" i="1" s="1"/>
  <c r="V42" i="1" l="1"/>
  <c r="T42" i="1"/>
  <c r="M46" i="1"/>
  <c r="W42" i="1"/>
  <c r="U42" i="1"/>
  <c r="N46" i="1"/>
  <c r="AC42" i="1"/>
  <c r="AA42" i="1"/>
  <c r="AB42" i="1"/>
  <c r="Z42" i="1"/>
  <c r="AC40" i="1"/>
  <c r="V40" i="1"/>
  <c r="T40" i="1"/>
  <c r="M42" i="1"/>
  <c r="W40" i="1"/>
  <c r="U40" i="1"/>
  <c r="AB40" i="1"/>
  <c r="Z40" i="1"/>
</calcChain>
</file>

<file path=xl/sharedStrings.xml><?xml version="1.0" encoding="utf-8"?>
<sst xmlns="http://schemas.openxmlformats.org/spreadsheetml/2006/main" count="898" uniqueCount="256">
  <si>
    <t>Model</t>
  </si>
  <si>
    <r>
      <rPr>
        <b/>
        <sz val="10"/>
        <color theme="1"/>
        <rFont val="Arial"/>
      </rPr>
      <t>Param</t>
    </r>
    <r>
      <rPr>
        <b/>
        <sz val="10"/>
        <color theme="1"/>
        <rFont val="Arial"/>
      </rPr>
      <t xml:space="preserve"> num</t>
    </r>
  </si>
  <si>
    <t>ASP2%</t>
  </si>
  <si>
    <t>Finetuned</t>
  </si>
  <si>
    <t>Type</t>
  </si>
  <si>
    <t>Quantization backend</t>
  </si>
  <si>
    <t>Reference</t>
  </si>
  <si>
    <r>
      <rPr>
        <b/>
        <sz val="10"/>
        <color rgb="FF000000"/>
        <rFont val="Arial"/>
      </rPr>
      <t xml:space="preserve">1. </t>
    </r>
    <r>
      <rPr>
        <b/>
        <sz val="10"/>
        <color rgb="FF000000"/>
        <rFont val="Arial"/>
      </rPr>
      <t>Standard
(fp32)</t>
    </r>
  </si>
  <si>
    <t>Mean</t>
  </si>
  <si>
    <r>
      <rPr>
        <b/>
        <sz val="10"/>
        <color rgb="FF000000"/>
        <rFont val="Arial"/>
      </rPr>
      <t xml:space="preserve">2. </t>
    </r>
    <r>
      <rPr>
        <b/>
        <sz val="10"/>
        <color rgb="FF000000"/>
        <rFont val="Arial"/>
      </rPr>
      <t>Quantized
(int8)</t>
    </r>
  </si>
  <si>
    <r>
      <rPr>
        <b/>
        <sz val="10"/>
        <color rgb="FF000000"/>
        <rFont val="Arial"/>
      </rPr>
      <t xml:space="preserve">3. </t>
    </r>
    <r>
      <rPr>
        <b/>
        <sz val="10"/>
        <color rgb="FF000000"/>
        <rFont val="Arial"/>
      </rPr>
      <t>Approximate Quantized
(int6*)</t>
    </r>
  </si>
  <si>
    <r>
      <rPr>
        <b/>
        <sz val="10"/>
        <color rgb="FF000000"/>
        <rFont val="Arial"/>
      </rPr>
      <t xml:space="preserve">4. Approximate </t>
    </r>
    <r>
      <rPr>
        <b/>
        <sz val="10"/>
        <color rgb="FF000000"/>
        <rFont val="Arial"/>
      </rPr>
      <t>QAT
(int6*)</t>
    </r>
  </si>
  <si>
    <t>Loss STD</t>
  </si>
  <si>
    <t>(stdev)</t>
  </si>
  <si>
    <t>Loss QNT</t>
  </si>
  <si>
    <t>MNIST</t>
  </si>
  <si>
    <t>Top-1</t>
  </si>
  <si>
    <t>Top-5</t>
  </si>
  <si>
    <t>MLP (MNIST)</t>
  </si>
  <si>
    <t>✅</t>
  </si>
  <si>
    <t xml:space="preserve">MLP </t>
  </si>
  <si>
    <t>PyTorch</t>
  </si>
  <si>
    <t>I. Rizos, ”A Booth-Inspired Approximation on Quantization for Neural Networks,” github.com. https://github.com/jrizxos/A-Booth-Inspired-Approximation-on-Quantization-for-Neural-Networks (accessed Dec. 28, 2025).</t>
  </si>
  <si>
    <t>CNN (MNIST)</t>
  </si>
  <si>
    <t xml:space="preserve">CNN </t>
  </si>
  <si>
    <t>CIFAR-10</t>
  </si>
  <si>
    <t>ILSVRC</t>
  </si>
  <si>
    <t>Alexnet</t>
  </si>
  <si>
    <t>DenseNet</t>
  </si>
  <si>
    <t>Losses from main table</t>
  </si>
  <si>
    <t>GoogLeNet</t>
  </si>
  <si>
    <t>Inception V3</t>
  </si>
  <si>
    <t>MNASNet</t>
  </si>
  <si>
    <t>A. Krizhevsky, ”One weird trick for parallelizing convolutional neural
networks”, arXiv preprint arXiv:1404. 5997, 2014.</t>
  </si>
  <si>
    <t>Mobilenet V2</t>
  </si>
  <si>
    <t>ResNet18</t>
  </si>
  <si>
    <t>SqueezeNet</t>
  </si>
  <si>
    <t>VGG16</t>
  </si>
  <si>
    <t>VGG16_BN</t>
  </si>
  <si>
    <t>DistilBERT</t>
  </si>
  <si>
    <t>CoLA</t>
  </si>
  <si>
    <t>WNLI</t>
  </si>
  <si>
    <t>QNLI</t>
  </si>
  <si>
    <t>RTE</t>
  </si>
  <si>
    <t>MRPC</t>
  </si>
  <si>
    <t>QQP</t>
  </si>
  <si>
    <t>STS-B</t>
  </si>
  <si>
    <t>SST-2</t>
  </si>
  <si>
    <t>Method</t>
  </si>
  <si>
    <t>OPT-13b</t>
  </si>
  <si>
    <t>ARC-C</t>
  </si>
  <si>
    <t>WiC</t>
  </si>
  <si>
    <t>MultiRC</t>
  </si>
  <si>
    <t>HS</t>
  </si>
  <si>
    <t>ARC-E</t>
  </si>
  <si>
    <t>WN</t>
  </si>
  <si>
    <t>PIQA</t>
  </si>
  <si>
    <t>-</t>
  </si>
  <si>
    <t>G. Huang, Z. Liu, L. van der Maaten, and K. Q. Weinberger, ”Densely
Connected Convolutional Networks”, in Proceedings of the IEEE Con-
ference on Computer Vision and Pattern Recognition (CVPR), 2017.</t>
  </si>
  <si>
    <t>AVG (of 3 runs)</t>
  </si>
  <si>
    <t>STDev (of 3 runs)</t>
  </si>
  <si>
    <t>run 1</t>
  </si>
  <si>
    <t>run 2</t>
  </si>
  <si>
    <t>run 3</t>
  </si>
  <si>
    <t>id</t>
  </si>
  <si>
    <t>Observer Type</t>
  </si>
  <si>
    <t>Activation qscheme</t>
  </si>
  <si>
    <t>Weight Granularity</t>
  </si>
  <si>
    <t>Weight qscheme</t>
  </si>
  <si>
    <t>Standard (no quantization)</t>
  </si>
  <si>
    <t>PTQ</t>
  </si>
  <si>
    <t>C. Szegedy et al., ”Going Deeper With Convolutions”, in Proceedings
of the IEEE Conference on Computer Vision and Pattern Recognition
(CVPR), 2015.</t>
  </si>
  <si>
    <t>MinMax</t>
  </si>
  <si>
    <t>Symmetric</t>
  </si>
  <si>
    <t>Tensor</t>
  </si>
  <si>
    <t>Affine</t>
  </si>
  <si>
    <t>C. Szegedy, V. Vanhoucke, S. Ioffe, J. Shlens, and Z. Wojna, ”Rethinking
the Inception Architecture for Computer Vision”, in Proceedings of the
IEEE Conference on Computer Vision and Pattern Recognition (CVPR),
2016.</t>
  </si>
  <si>
    <t>Histogram</t>
  </si>
  <si>
    <t>MovingAverageMinMax</t>
  </si>
  <si>
    <t>M. Tan et al., ‘Mnasnet: Platform-aware neural architecture search for mobile’, in Proceedings of the IEEE/CVF conference on computer vision and pattern recognition, 2019, pp. 2820–2828.</t>
  </si>
  <si>
    <t>Channel</t>
  </si>
  <si>
    <t>M. Sandler, A. Howard, M. Zhu, A. Zhmoginov, and L.-C. Chen, ”Mo-
bileNetV2: Inverted Residuals and Linear Bottlenecks”, in Proceedings
of the IEEE Conference on Computer Vision and Pattern Recognition
(CVPR), 2018.</t>
  </si>
  <si>
    <t>APTQ</t>
  </si>
  <si>
    <t>K. He, X. Zhang, S. Ren, and J. Sun, ”Deep Residual Learning for
Image Recognition”, in Proceedings of the IEEE Conference on Computer
Vision and Pattern Recognition (CVPR), 2016.</t>
  </si>
  <si>
    <t>F. N. Iandola, S. Han, M. W. Moskewicz, K. Ashraf, W. J. Dally, and K. Keutzer, ‘SqueezeNet: AlexNet-level accuracy with 50x fewer parameters and&lt; 0.5 MB model size’, arXiv preprint arXiv:1602. 07360, 2016.</t>
  </si>
  <si>
    <t>K. Simonyan and A. Zisserman, ”Very deep convolutional networks for
large-scale image recognition”, arXiv preprint arXiv:1409. 1556, 2014.</t>
  </si>
  <si>
    <t>QAT</t>
  </si>
  <si>
    <t>ViT</t>
  </si>
  <si>
    <t>BNB</t>
  </si>
  <si>
    <t>A. Dosovitskiy et al., ‘An image is worth 16x16 words: Transformers for image recognition at scale’, arXiv preprint arXiv:2010. 11929, 2020.</t>
  </si>
  <si>
    <t>BERT-large</t>
  </si>
  <si>
    <t>Transformer</t>
  </si>
  <si>
    <t>Torchao</t>
  </si>
  <si>
    <t>J. Devlin, M.-W. Chang, K. Lee, and K. Toutanova, ‘Bert: Pre-training of deep bidirectional transformers for language understanding’, in Proceedings of the 2019 conference of the North American chapter of the association for computational linguistics: human language technologies, volume 1 (long and short papers), 2019, pp. 4171–4186.</t>
  </si>
  <si>
    <t>AQAT</t>
  </si>
  <si>
    <t>V. Sanh, L. Debut, J. Chaumond, and T. Wolf, ‘DistilBERT, a distilled version of BERT: smaller, faster, cheaper and lighter’, arXiv preprint arXiv:1910. 01108, 2019.</t>
  </si>
  <si>
    <t xml:space="preserve">BLOOM-7b1 </t>
  </si>
  <si>
    <t>❌</t>
  </si>
  <si>
    <t>B. Workshop et al., ‘Bloom: A 176b-parameter open-access multilingual language model’, arXiv preprint arXiv:2211. 05100, 2022.</t>
  </si>
  <si>
    <t>GPT-2-XL</t>
  </si>
  <si>
    <t>A. Radford et al., ‘Language models are unsupervised multitask learners’, OpenAI blog, vol. 1, no. 8, p. 9, 2019.</t>
  </si>
  <si>
    <t>PTQ vs APTQ</t>
  </si>
  <si>
    <t>QAT vs AQAT</t>
  </si>
  <si>
    <t>Alexnet vs VGG16_BN</t>
  </si>
  <si>
    <t>S. Zhang et al., ‘Opt: Open pre-trained transformer language models’, arXiv preprint arXiv:2205. 01068, 2022.</t>
  </si>
  <si>
    <t>PTQ - APTQ</t>
  </si>
  <si>
    <t>QAT - AQAT</t>
  </si>
  <si>
    <t>mamba-1.4b</t>
  </si>
  <si>
    <t>SST</t>
  </si>
  <si>
    <t>Gu, A., &amp; Dao, T. (2023). Mamba: Linear-time sequence modeling with selective state spaces. arXiv preprint arXiv:2312.00752.</t>
  </si>
  <si>
    <t>1 - 5</t>
  </si>
  <si>
    <t>MinMax vs Histogram</t>
  </si>
  <si>
    <t>2 - 6</t>
  </si>
  <si>
    <t>Jamba2-3B</t>
  </si>
  <si>
    <t>Hybrid-SST</t>
  </si>
  <si>
    <t>Lenz, B., Lieber, O., Arazi, A., Bergman, A., Manevich, A., Peleg, B., ... &amp; Shoham, Y. (2025, May). Jamba: Hybrid transformer-mamba language models. In International Conference on Learning Representations (Vol. 2025, pp. 67959-67984)</t>
  </si>
  <si>
    <t>3 - 7</t>
  </si>
  <si>
    <t>4 - 8</t>
  </si>
  <si>
    <t>Zamba2-1.2B</t>
  </si>
  <si>
    <t>Glorioso, P., Anthony, Q., Tokpanov, Y., Whittington, J., Pilault, J., Ibrahim, A., &amp; Millidge, B. (2024). Zamba: A compact 7b ssm hybrid model. arXiv preprint arXiv:2405.16712.</t>
  </si>
  <si>
    <t>1 - 9</t>
  </si>
  <si>
    <t>MinMax vs MovingAverageMinMax</t>
  </si>
  <si>
    <t>2 - 10</t>
  </si>
  <si>
    <t>Tiny-MoE</t>
  </si>
  <si>
    <t>MoE</t>
  </si>
  <si>
    <t>3 - 11</t>
  </si>
  <si>
    <t>4 - 12</t>
  </si>
  <si>
    <t>https://huggingface.co/Corianas/Tiny-Moe</t>
  </si>
  <si>
    <t>5 - 9</t>
  </si>
  <si>
    <t>Histogram vs MovingAverageMinMax</t>
  </si>
  <si>
    <t>6 - 10</t>
  </si>
  <si>
    <t>7 - 11</t>
  </si>
  <si>
    <t>Qwen2-MoE</t>
  </si>
  <si>
    <t>Bai, J., Bai, S., Chu, Y., Cui, Z., Dang, K., Deng, X., ... &amp; Zhu, T. (2023). Qwen technical report. arXiv preprint arXiv:2309.16609.</t>
  </si>
  <si>
    <t>8 -12</t>
  </si>
  <si>
    <t>1 - 13</t>
  </si>
  <si>
    <t>Tesnsor vs Channel</t>
  </si>
  <si>
    <t>AMI-i</t>
  </si>
  <si>
    <t>AMI-s</t>
  </si>
  <si>
    <t>LS-C</t>
  </si>
  <si>
    <t>LS-O</t>
  </si>
  <si>
    <t>VP-EN</t>
  </si>
  <si>
    <t>2 - 14</t>
  </si>
  <si>
    <t>9 - 15</t>
  </si>
  <si>
    <t>MMS-1b-all</t>
  </si>
  <si>
    <t>10 - 16</t>
  </si>
  <si>
    <t>V. Pratap et al., ‘Scaling speech technology to 1,000+ languages’, Journal of Machine Learning Research, vol. 25, no. 97, pp. 1–52, 2024.</t>
  </si>
  <si>
    <t>11 - 17</t>
  </si>
  <si>
    <t>12 - 18</t>
  </si>
  <si>
    <t>1 - 4</t>
  </si>
  <si>
    <t>Symmetric vs Affine (activations)</t>
  </si>
  <si>
    <t>2 - 3</t>
  </si>
  <si>
    <t>5 - 8</t>
  </si>
  <si>
    <t>6 - 7</t>
  </si>
  <si>
    <t>9 - 12</t>
  </si>
  <si>
    <t>Whisper-large-v3</t>
  </si>
  <si>
    <t>10 - 11</t>
  </si>
  <si>
    <t>A. Radford, J. W. Kim, T. Xu, G. Brockman, C. McLeavey, and I. Sutskever, ‘Robust speech recognition via large-scale weak supervision’, in International conference on machine learning, 2023, pp. 28492–28518.</t>
  </si>
  <si>
    <t>15 - 18</t>
  </si>
  <si>
    <t>16 - 17</t>
  </si>
  <si>
    <t>1 - 3</t>
  </si>
  <si>
    <t>Symmetric vs Affine (weights)</t>
  </si>
  <si>
    <t>2 - 4</t>
  </si>
  <si>
    <t>5 - 7</t>
  </si>
  <si>
    <t>6 - 8</t>
  </si>
  <si>
    <t>9 - 11</t>
  </si>
  <si>
    <t>10 - 12</t>
  </si>
  <si>
    <t>15- 17</t>
  </si>
  <si>
    <t>16 - 18</t>
  </si>
  <si>
    <t>AS</t>
  </si>
  <si>
    <t>AST</t>
  </si>
  <si>
    <t>Y. Gong, Y.-A. Chung, and J. Glass, ‘Ast: Audio spectrogram transformer’, arXiv preprint arXiv:2104. 01778, 2021.</t>
  </si>
  <si>
    <t>Legend for table above</t>
  </si>
  <si>
    <t>Table 2 in paper</t>
  </si>
  <si>
    <t>Table 3 in paper</t>
  </si>
  <si>
    <t>Task name</t>
  </si>
  <si>
    <t>Short name</t>
  </si>
  <si>
    <r>
      <rPr>
        <b/>
        <sz val="10"/>
        <color theme="1"/>
        <rFont val="Arial"/>
      </rPr>
      <t>Param</t>
    </r>
    <r>
      <rPr>
        <sz val="10"/>
        <color theme="1"/>
        <rFont val="Arial"/>
      </rPr>
      <t xml:space="preserve"> num</t>
    </r>
  </si>
  <si>
    <r>
      <rPr>
        <b/>
        <sz val="10"/>
        <color rgb="FF000000"/>
        <rFont val="Arial"/>
      </rPr>
      <t>STD</t>
    </r>
    <r>
      <rPr>
        <sz val="10"/>
        <color rgb="FF000000"/>
        <rFont val="Arial"/>
      </rPr>
      <t xml:space="preserve">
(%)</t>
    </r>
  </si>
  <si>
    <r>
      <rPr>
        <b/>
        <sz val="10"/>
        <color rgb="FF000000"/>
        <rFont val="Arial"/>
      </rPr>
      <t>QNT</t>
    </r>
    <r>
      <rPr>
        <sz val="10"/>
        <color rgb="FF000000"/>
        <rFont val="Arial"/>
      </rPr>
      <t xml:space="preserve">
(%)</t>
    </r>
  </si>
  <si>
    <r>
      <rPr>
        <b/>
        <sz val="10"/>
        <color rgb="FF000000"/>
        <rFont val="Arial"/>
      </rPr>
      <t>AxCQ</t>
    </r>
    <r>
      <rPr>
        <sz val="10"/>
        <color rgb="FF000000"/>
        <rFont val="Arial"/>
      </rPr>
      <t xml:space="preserve">
(%)</t>
    </r>
  </si>
  <si>
    <r>
      <rPr>
        <b/>
        <sz val="10"/>
        <color rgb="FF000000"/>
        <rFont val="Arial"/>
      </rPr>
      <t>AQAT</t>
    </r>
    <r>
      <rPr>
        <sz val="10"/>
        <color rgb="FF000000"/>
        <rFont val="Arial"/>
      </rPr>
      <t xml:space="preserve">
(%)</t>
    </r>
  </si>
  <si>
    <t>Tasks</t>
  </si>
  <si>
    <t>Average</t>
  </si>
  <si>
    <t>Stdev</t>
  </si>
  <si>
    <t>Min</t>
  </si>
  <si>
    <t>Max</t>
  </si>
  <si>
    <t>L. Deng, ”The MNIST Database of Handwritten Digit Images for
Machine Learning Research [Best of the Web],” in IEEE Signal
Processing Magazine, vol. 29, no. 6, pp. 141-142, Nov. 2012, doi:
10.1109/MSP.2012.2211477.</t>
  </si>
  <si>
    <t>23K</t>
  </si>
  <si>
    <t>CNN</t>
  </si>
  <si>
    <t>A. Krizhevsky, G. Hinton et al., ”Learning multiple layers of features
from tiny images”, 2009.</t>
  </si>
  <si>
    <t>21K</t>
  </si>
  <si>
    <t>Trans</t>
  </si>
  <si>
    <t>O. Russakovsky, J. Deng et al., ”Imagenet large scale visual recognition
challenge”, International journal of computer vision, vol. 115, no. 3, pp.
211-252, 2015</t>
  </si>
  <si>
    <t>61M</t>
  </si>
  <si>
    <t>CIFAR-10, ILSVRC</t>
  </si>
  <si>
    <t>CNN-outlier</t>
  </si>
  <si>
    <t>A. Wang, A. Singh, J. Michael, F. Hill, O. Levy, and S. Bowman, ‘GLUE: A multi-task benchmark and analysis platform for natural language understanding’, in Proceedings of the 2018 EMNLP workshop BlackboxNLP: Analyzing and interpreting neural networks for NLP, 2018, pp. 353–355.</t>
  </si>
  <si>
    <t>28M</t>
  </si>
  <si>
    <t>6.6M</t>
  </si>
  <si>
    <t>23M</t>
  </si>
  <si>
    <t>4.3M</t>
  </si>
  <si>
    <t>3.5M</t>
  </si>
  <si>
    <t>11M</t>
  </si>
  <si>
    <t>1.2M</t>
  </si>
  <si>
    <t>138M</t>
  </si>
  <si>
    <t>Y. Bisk, R. Zellers, J. Gao, Y. Choi, and Others, ‘Piqa: Reasoning about physical commonsense in natural language’, in Proceedings of the AAAI conference on artificial intelligence, 2020, vol. 34, pp. 7432–7439.</t>
  </si>
  <si>
    <t>HellaSwag</t>
  </si>
  <si>
    <t>R. Zellers, A. Holtzman, Y. Bisk, A. Farhadi, and Y. Choi, ‘HellaSwag: Can a Machine Really Finish Your Sentence?’, in Proceedings of the 57th Annual Meeting of the Association for Computational Linguistics, 2019, pp. 4791–4800.</t>
  </si>
  <si>
    <t>86M</t>
  </si>
  <si>
    <t>Winogrande</t>
  </si>
  <si>
    <t>K. Sakaguchi, R. L. Bras, C. Bhagavatula, and Y. Choi, ‘Winogrande: An adversarial winograd schema challenge at scale’, Communications of the ACM, vol. 64, no. 9, pp. 99–106, 2021.</t>
  </si>
  <si>
    <t>66M</t>
  </si>
  <si>
    <t>CoLA, SST-2, MRPC, QQP, QNLI, RTE, WNLI, STS-B</t>
  </si>
  <si>
    <t>ARC easy</t>
  </si>
  <si>
    <t>P. Clark et al., ‘Think you have solved question answering? try arc, the ai2 reasoning challenge’, arXiv preprint arXiv:1803. 05457, 2018.</t>
  </si>
  <si>
    <t>335M</t>
  </si>
  <si>
    <t>ARC challenge</t>
  </si>
  <si>
    <t>7B</t>
  </si>
  <si>
    <t>PIQA, HellaSwag, Winogrande, ARC easy &amp; challenge, WiC, RTE, MulitiRC</t>
  </si>
  <si>
    <t>A. Wang et al., ‘Superglue: A stickier benchmark for general-purpose language understanding systems’, Advances in neural information processing systems, vol. 32, 2019.</t>
  </si>
  <si>
    <t>1.5B</t>
  </si>
  <si>
    <t>13B</t>
  </si>
  <si>
    <t>Librispeech clean</t>
  </si>
  <si>
    <t>V. Panayotov, G. Chen, D. Povey and S. Khudanpur, "Librispeech: An ASR corpus based on public domain audio books," 2015 IEEE International Conference on Acoustics, Speech and Signal Processing (ICASSP), South Brisbane, QLD, Australia, 2015, pp. 5206-5210, doi: 10.1109/ICASSP.2015.7178964.</t>
  </si>
  <si>
    <t>Mamba</t>
  </si>
  <si>
    <t>1.3B</t>
  </si>
  <si>
    <t>Librispeech other</t>
  </si>
  <si>
    <t>Jamba2</t>
  </si>
  <si>
    <t>3B</t>
  </si>
  <si>
    <t>VoxPopuli English</t>
  </si>
  <si>
    <t>C. Wang et al., ‘VoxPopuli: A large-scale multilingual speech corpus for representation learning, semi-supervised learning and interpretation’, in Proceedings of the 59th Annual Meeting of the Association for Computational Linguistics and the 11th International Joint Conference on Natural Language Processing (Volume 1: Long Papers), 2021, pp. 993–1003.</t>
  </si>
  <si>
    <t>Zamba2</t>
  </si>
  <si>
    <t>1B</t>
  </si>
  <si>
    <t>AMI ihm</t>
  </si>
  <si>
    <t>J. Carletta et al., ‘The AMI meeting corpus: A pre-announcement’, in International workshop on machine learning for multimodal interaction, 2005, pp. 28–39.</t>
  </si>
  <si>
    <t>144M</t>
  </si>
  <si>
    <t>AMI sdm</t>
  </si>
  <si>
    <t>8.5B</t>
  </si>
  <si>
    <t>AudioSet</t>
  </si>
  <si>
    <t>J. F. Gemmeke et al., ‘Audio set: An ontology and human-labeled dataset for audio events’, in 2017 IEEE international conference on acoustics, speech and signal processing (ICASSP), 2017, pp. 776–780.</t>
  </si>
  <si>
    <t>0.9B</t>
  </si>
  <si>
    <t>Librispeech clean &amp; other, VoxPopuli English, AMI ihm &amp; sdm</t>
  </si>
  <si>
    <t>Results from 5x runs for each NN</t>
  </si>
  <si>
    <t>STD</t>
  </si>
  <si>
    <t>AxCQ_PTQ</t>
  </si>
  <si>
    <t>AxCQ_QAT</t>
  </si>
  <si>
    <t>average</t>
  </si>
  <si>
    <t>stdev</t>
  </si>
  <si>
    <t>Densenet</t>
  </si>
  <si>
    <t>69.15,</t>
  </si>
  <si>
    <t>InceptionV3</t>
  </si>
  <si>
    <t>Mobilenet</t>
  </si>
  <si>
    <t>Resnet18</t>
  </si>
  <si>
    <t>MNIST_CNN</t>
  </si>
  <si>
    <t>MNIST_MLP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</si>
</sst>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1"/>
      <color rgb="FF000000"/>
      <name val="Arial"/>
    </font>
    <font>
      <sz val="11"/>
      <color rgb="FF000000"/>
      <name val="'Courier New'"/>
    </font>
    <font>
      <sz val="10"/>
      <color theme="1"/>
      <name val="Courier New"/>
    </font>
    <font>
      <sz val="10"/>
      <color theme="1"/>
      <name val="Arial"/>
    </font>
    <font>
      <sz val="11"/>
      <color theme="1"/>
      <name val="Arial"/>
      <scheme val="minor"/>
    </font>
    <font>
      <sz val="10"/>
      <color rgb="FF000000"/>
      <name val="Arial"/>
    </font>
    <font>
      <sz val="11"/>
      <color rgb="FF000000"/>
      <name val="Arial"/>
      <scheme val="minor"/>
    </font>
    <font>
      <sz val="11"/>
      <color rgb="FF000000"/>
      <name val="&quot;Aptos Narrow&quot;"/>
    </font>
    <font>
      <sz val="10"/>
      <color rgb="FF000000"/>
      <name val="Arial"/>
      <scheme val="minor"/>
    </font>
    <font>
      <b/>
      <sz val="10"/>
      <color rgb="FFFF0000"/>
      <name val="Arial"/>
      <scheme val="minor"/>
    </font>
    <font>
      <sz val="8"/>
      <color theme="1"/>
      <name val="Arial"/>
      <scheme val="minor"/>
    </font>
    <font>
      <b/>
      <sz val="11"/>
      <color theme="1"/>
      <name val="Calibri"/>
    </font>
    <font>
      <sz val="9"/>
      <color theme="1"/>
      <name val="Arial"/>
      <scheme val="minor"/>
    </font>
    <font>
      <b/>
      <sz val="10"/>
      <color rgb="FF000000"/>
      <name val="Arial"/>
    </font>
    <font>
      <b/>
      <sz val="10"/>
      <color theme="1"/>
      <name val="Arial"/>
    </font>
  </fonts>
  <fills count="32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C4125"/>
        <bgColor rgb="FFCC4125"/>
      </patternFill>
    </fill>
    <fill>
      <patternFill patternType="solid">
        <fgColor rgb="FF76A5AF"/>
        <bgColor rgb="FF76A5AF"/>
      </patternFill>
    </fill>
    <fill>
      <patternFill patternType="solid">
        <fgColor rgb="FFE06666"/>
        <bgColor rgb="FFE06666"/>
      </patternFill>
    </fill>
    <fill>
      <patternFill patternType="solid">
        <fgColor rgb="FFB4A7D6"/>
        <bgColor rgb="FFB4A7D6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E6B8AF"/>
        <bgColor rgb="FFE6B8AF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DD7E6B"/>
        <bgColor rgb="FFDD7E6B"/>
      </patternFill>
    </fill>
    <fill>
      <patternFill patternType="solid">
        <fgColor rgb="FFA2C4C9"/>
        <bgColor rgb="FFA2C4C9"/>
      </patternFill>
    </fill>
    <fill>
      <patternFill patternType="solid">
        <fgColor rgb="FFF9CB9C"/>
        <bgColor rgb="FFF9CB9C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</fills>
  <borders count="5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438">
    <xf numFmtId="0" fontId="0" fillId="0" borderId="0" xfId="0"/>
    <xf numFmtId="0" fontId="2" fillId="0" borderId="0" xfId="0" applyFont="1" applyAlignment="1">
      <alignment horizontal="center" vertical="center"/>
    </xf>
    <xf numFmtId="0" fontId="4" fillId="6" borderId="1" xfId="0" applyFont="1" applyFill="1" applyBorder="1" applyAlignment="1">
      <alignment horizontal="center" wrapText="1"/>
    </xf>
    <xf numFmtId="4" fontId="2" fillId="2" borderId="1" xfId="0" applyNumberFormat="1" applyFont="1" applyFill="1" applyBorder="1" applyAlignment="1">
      <alignment horizontal="right"/>
    </xf>
    <xf numFmtId="4" fontId="2" fillId="3" borderId="1" xfId="0" applyNumberFormat="1" applyFont="1" applyFill="1" applyBorder="1" applyAlignment="1">
      <alignment horizontal="right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4" fontId="2" fillId="4" borderId="1" xfId="0" applyNumberFormat="1" applyFont="1" applyFill="1" applyBorder="1" applyAlignment="1">
      <alignment horizontal="right"/>
    </xf>
    <xf numFmtId="4" fontId="2" fillId="5" borderId="1" xfId="0" applyNumberFormat="1" applyFont="1" applyFill="1" applyBorder="1" applyAlignment="1">
      <alignment horizontal="right"/>
    </xf>
    <xf numFmtId="0" fontId="4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4" fontId="0" fillId="2" borderId="1" xfId="0" applyNumberFormat="1" applyFill="1" applyBorder="1" applyAlignment="1">
      <alignment horizontal="right" wrapText="1"/>
    </xf>
    <xf numFmtId="4" fontId="0" fillId="13" borderId="1" xfId="0" applyNumberFormat="1" applyFill="1" applyBorder="1" applyAlignment="1">
      <alignment horizontal="center" vertical="center" wrapText="1"/>
    </xf>
    <xf numFmtId="4" fontId="0" fillId="3" borderId="1" xfId="0" applyNumberFormat="1" applyFill="1" applyBorder="1" applyAlignment="1">
      <alignment horizontal="right" wrapText="1"/>
    </xf>
    <xf numFmtId="4" fontId="3" fillId="4" borderId="1" xfId="0" applyNumberFormat="1" applyFont="1" applyFill="1" applyBorder="1" applyAlignment="1">
      <alignment horizontal="right" wrapText="1"/>
    </xf>
    <xf numFmtId="4" fontId="3" fillId="5" borderId="1" xfId="0" applyNumberFormat="1" applyFont="1" applyFill="1" applyBorder="1" applyAlignment="1">
      <alignment horizontal="right" wrapText="1"/>
    </xf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right"/>
    </xf>
    <xf numFmtId="0" fontId="2" fillId="0" borderId="0" xfId="0" applyFont="1"/>
    <xf numFmtId="0" fontId="4" fillId="14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right" wrapText="1"/>
    </xf>
    <xf numFmtId="4" fontId="4" fillId="17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5" fillId="18" borderId="5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2" fillId="24" borderId="2" xfId="0" applyFont="1" applyFill="1" applyBorder="1" applyAlignment="1">
      <alignment horizontal="center"/>
    </xf>
    <xf numFmtId="0" fontId="2" fillId="24" borderId="10" xfId="0" applyFont="1" applyFill="1" applyBorder="1" applyAlignment="1">
      <alignment horizontal="center"/>
    </xf>
    <xf numFmtId="0" fontId="2" fillId="24" borderId="11" xfId="0" applyFont="1" applyFill="1" applyBorder="1" applyAlignment="1">
      <alignment horizontal="center"/>
    </xf>
    <xf numFmtId="0" fontId="0" fillId="6" borderId="1" xfId="0" applyFill="1" applyBorder="1" applyAlignment="1">
      <alignment horizontal="center" wrapText="1"/>
    </xf>
    <xf numFmtId="3" fontId="8" fillId="7" borderId="1" xfId="0" applyNumberFormat="1" applyFont="1" applyFill="1" applyBorder="1" applyAlignment="1">
      <alignment horizontal="right" vertical="center"/>
    </xf>
    <xf numFmtId="4" fontId="2" fillId="8" borderId="1" xfId="0" applyNumberFormat="1" applyFont="1" applyFill="1" applyBorder="1" applyAlignment="1">
      <alignment horizontal="right"/>
    </xf>
    <xf numFmtId="4" fontId="0" fillId="13" borderId="1" xfId="0" applyNumberFormat="1" applyFill="1" applyBorder="1" applyAlignment="1">
      <alignment horizontal="right" wrapText="1"/>
    </xf>
    <xf numFmtId="4" fontId="0" fillId="14" borderId="1" xfId="0" applyNumberFormat="1" applyFill="1" applyBorder="1" applyAlignment="1">
      <alignment horizontal="right" wrapText="1"/>
    </xf>
    <xf numFmtId="4" fontId="0" fillId="15" borderId="1" xfId="0" applyNumberFormat="1" applyFill="1" applyBorder="1" applyAlignment="1">
      <alignment horizontal="right" wrapText="1"/>
    </xf>
    <xf numFmtId="4" fontId="0" fillId="17" borderId="1" xfId="0" applyNumberFormat="1" applyFill="1" applyBorder="1" applyAlignment="1">
      <alignment horizontal="right" wrapText="1"/>
    </xf>
    <xf numFmtId="4" fontId="2" fillId="0" borderId="9" xfId="0" applyNumberFormat="1" applyFont="1" applyBorder="1"/>
    <xf numFmtId="4" fontId="2" fillId="0" borderId="1" xfId="0" applyNumberFormat="1" applyFont="1" applyBorder="1"/>
    <xf numFmtId="0" fontId="0" fillId="26" borderId="1" xfId="0" applyFill="1" applyBorder="1" applyAlignment="1">
      <alignment horizontal="center" wrapText="1"/>
    </xf>
    <xf numFmtId="3" fontId="8" fillId="27" borderId="1" xfId="0" applyNumberFormat="1" applyFont="1" applyFill="1" applyBorder="1" applyAlignment="1">
      <alignment horizontal="right" vertical="center"/>
    </xf>
    <xf numFmtId="4" fontId="2" fillId="18" borderId="1" xfId="0" applyNumberFormat="1" applyFont="1" applyFill="1" applyBorder="1" applyAlignment="1">
      <alignment horizontal="right"/>
    </xf>
    <xf numFmtId="0" fontId="2" fillId="15" borderId="1" xfId="0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 vertical="center"/>
    </xf>
    <xf numFmtId="4" fontId="0" fillId="4" borderId="1" xfId="0" applyNumberFormat="1" applyFill="1" applyBorder="1" applyAlignment="1">
      <alignment horizontal="right" wrapText="1"/>
    </xf>
    <xf numFmtId="4" fontId="0" fillId="5" borderId="1" xfId="0" applyNumberFormat="1" applyFill="1" applyBorder="1" applyAlignment="1">
      <alignment horizontal="right" wrapText="1"/>
    </xf>
    <xf numFmtId="4" fontId="2" fillId="0" borderId="5" xfId="0" applyNumberFormat="1" applyFont="1" applyBorder="1"/>
    <xf numFmtId="0" fontId="0" fillId="24" borderId="1" xfId="0" applyFill="1" applyBorder="1" applyAlignment="1">
      <alignment horizontal="center" wrapText="1"/>
    </xf>
    <xf numFmtId="4" fontId="3" fillId="15" borderId="1" xfId="0" applyNumberFormat="1" applyFont="1" applyFill="1" applyBorder="1" applyAlignment="1">
      <alignment horizontal="right" wrapText="1"/>
    </xf>
    <xf numFmtId="4" fontId="3" fillId="15" borderId="18" xfId="0" applyNumberFormat="1" applyFont="1" applyFill="1" applyBorder="1" applyAlignment="1">
      <alignment horizontal="right" wrapText="1"/>
    </xf>
    <xf numFmtId="4" fontId="3" fillId="17" borderId="1" xfId="0" applyNumberFormat="1" applyFont="1" applyFill="1" applyBorder="1" applyAlignment="1">
      <alignment horizontal="right" wrapText="1"/>
    </xf>
    <xf numFmtId="4" fontId="2" fillId="0" borderId="19" xfId="0" applyNumberFormat="1" applyFont="1" applyBorder="1"/>
    <xf numFmtId="4" fontId="2" fillId="0" borderId="13" xfId="0" applyNumberFormat="1" applyFont="1" applyBorder="1"/>
    <xf numFmtId="4" fontId="2" fillId="0" borderId="0" xfId="0" applyNumberFormat="1" applyFont="1"/>
    <xf numFmtId="0" fontId="2" fillId="0" borderId="20" xfId="0" applyFont="1" applyBorder="1"/>
    <xf numFmtId="0" fontId="2" fillId="26" borderId="1" xfId="0" applyFont="1" applyFill="1" applyBorder="1" applyAlignment="1">
      <alignment horizontal="center"/>
    </xf>
    <xf numFmtId="0" fontId="0" fillId="29" borderId="0" xfId="0" applyFill="1" applyAlignment="1">
      <alignment horizontal="center" wrapText="1"/>
    </xf>
    <xf numFmtId="0" fontId="3" fillId="29" borderId="0" xfId="0" applyFont="1" applyFill="1" applyAlignment="1">
      <alignment horizontal="center" wrapText="1"/>
    </xf>
    <xf numFmtId="0" fontId="0" fillId="29" borderId="13" xfId="0" applyFill="1" applyBorder="1" applyAlignment="1">
      <alignment horizontal="center" wrapText="1"/>
    </xf>
    <xf numFmtId="0" fontId="10" fillId="0" borderId="0" xfId="0" applyFont="1" applyAlignment="1">
      <alignment horizontal="right"/>
    </xf>
    <xf numFmtId="0" fontId="10" fillId="0" borderId="13" xfId="0" applyFont="1" applyBorder="1" applyAlignment="1">
      <alignment horizontal="right"/>
    </xf>
    <xf numFmtId="4" fontId="10" fillId="0" borderId="0" xfId="0" applyNumberFormat="1" applyFont="1" applyAlignment="1">
      <alignment horizontal="right"/>
    </xf>
    <xf numFmtId="4" fontId="10" fillId="0" borderId="13" xfId="0" applyNumberFormat="1" applyFont="1" applyBorder="1" applyAlignment="1">
      <alignment horizontal="right"/>
    </xf>
    <xf numFmtId="0" fontId="2" fillId="6" borderId="1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 wrapText="1"/>
    </xf>
    <xf numFmtId="0" fontId="0" fillId="3" borderId="6" xfId="0" applyFill="1" applyBorder="1" applyAlignment="1">
      <alignment horizontal="center" wrapText="1"/>
    </xf>
    <xf numFmtId="4" fontId="2" fillId="13" borderId="1" xfId="0" applyNumberFormat="1" applyFont="1" applyFill="1" applyBorder="1" applyAlignment="1">
      <alignment horizontal="right"/>
    </xf>
    <xf numFmtId="0" fontId="0" fillId="3" borderId="0" xfId="0" applyFill="1" applyAlignment="1">
      <alignment horizontal="center" wrapText="1"/>
    </xf>
    <xf numFmtId="4" fontId="12" fillId="0" borderId="6" xfId="0" applyNumberFormat="1" applyFont="1" applyBorder="1" applyAlignment="1">
      <alignment horizontal="right"/>
    </xf>
    <xf numFmtId="4" fontId="12" fillId="0" borderId="7" xfId="0" applyNumberFormat="1" applyFont="1" applyBorder="1" applyAlignment="1">
      <alignment horizontal="right"/>
    </xf>
    <xf numFmtId="4" fontId="2" fillId="14" borderId="1" xfId="0" applyNumberFormat="1" applyFont="1" applyFill="1" applyBorder="1" applyAlignment="1">
      <alignment horizontal="right"/>
    </xf>
    <xf numFmtId="4" fontId="13" fillId="0" borderId="6" xfId="0" applyNumberFormat="1" applyFont="1" applyBorder="1" applyAlignment="1">
      <alignment horizontal="right"/>
    </xf>
    <xf numFmtId="4" fontId="13" fillId="0" borderId="7" xfId="0" applyNumberFormat="1" applyFont="1" applyBorder="1" applyAlignment="1">
      <alignment horizontal="right"/>
    </xf>
    <xf numFmtId="4" fontId="2" fillId="15" borderId="1" xfId="0" applyNumberFormat="1" applyFont="1" applyFill="1" applyBorder="1" applyAlignment="1">
      <alignment horizontal="right"/>
    </xf>
    <xf numFmtId="0" fontId="4" fillId="3" borderId="0" xfId="0" applyFont="1" applyFill="1" applyAlignment="1">
      <alignment horizontal="center" wrapText="1"/>
    </xf>
    <xf numFmtId="4" fontId="12" fillId="0" borderId="0" xfId="0" applyNumberFormat="1" applyFont="1" applyAlignment="1">
      <alignment horizontal="right"/>
    </xf>
    <xf numFmtId="4" fontId="12" fillId="0" borderId="13" xfId="0" applyNumberFormat="1" applyFont="1" applyBorder="1" applyAlignment="1">
      <alignment horizontal="right"/>
    </xf>
    <xf numFmtId="4" fontId="2" fillId="17" borderId="1" xfId="0" applyNumberFormat="1" applyFont="1" applyFill="1" applyBorder="1" applyAlignment="1">
      <alignment horizontal="right"/>
    </xf>
    <xf numFmtId="4" fontId="13" fillId="0" borderId="0" xfId="0" applyNumberFormat="1" applyFont="1" applyAlignment="1">
      <alignment horizontal="right"/>
    </xf>
    <xf numFmtId="4" fontId="13" fillId="0" borderId="13" xfId="0" applyNumberFormat="1" applyFont="1" applyBorder="1" applyAlignment="1">
      <alignment horizontal="right"/>
    </xf>
    <xf numFmtId="4" fontId="10" fillId="0" borderId="0" xfId="0" applyNumberFormat="1" applyFont="1"/>
    <xf numFmtId="4" fontId="10" fillId="0" borderId="13" xfId="0" applyNumberFormat="1" applyFont="1" applyBorder="1"/>
    <xf numFmtId="4" fontId="2" fillId="13" borderId="1" xfId="0" applyNumberFormat="1" applyFont="1" applyFill="1" applyBorder="1" applyAlignment="1">
      <alignment horizontal="right" vertical="center"/>
    </xf>
    <xf numFmtId="4" fontId="2" fillId="14" borderId="1" xfId="0" applyNumberFormat="1" applyFont="1" applyFill="1" applyBorder="1" applyAlignment="1">
      <alignment horizontal="right" vertical="center"/>
    </xf>
    <xf numFmtId="4" fontId="0" fillId="2" borderId="1" xfId="0" applyNumberFormat="1" applyFill="1" applyBorder="1" applyAlignment="1">
      <alignment horizontal="right" vertical="center" wrapText="1"/>
    </xf>
    <xf numFmtId="4" fontId="6" fillId="0" borderId="0" xfId="0" applyNumberFormat="1" applyFont="1" applyAlignment="1">
      <alignment horizontal="right"/>
    </xf>
    <xf numFmtId="4" fontId="3" fillId="3" borderId="1" xfId="0" applyNumberFormat="1" applyFont="1" applyFill="1" applyBorder="1" applyAlignment="1">
      <alignment horizontal="right" vertical="center" wrapText="1"/>
    </xf>
    <xf numFmtId="4" fontId="0" fillId="3" borderId="1" xfId="0" applyNumberFormat="1" applyFill="1" applyBorder="1" applyAlignment="1">
      <alignment horizontal="right" vertical="center" wrapText="1"/>
    </xf>
    <xf numFmtId="0" fontId="0" fillId="3" borderId="10" xfId="0" applyFill="1" applyBorder="1" applyAlignment="1">
      <alignment horizontal="center" wrapText="1"/>
    </xf>
    <xf numFmtId="0" fontId="4" fillId="4" borderId="6" xfId="0" applyFont="1" applyFill="1" applyBorder="1" applyAlignment="1">
      <alignment horizontal="center" wrapText="1"/>
    </xf>
    <xf numFmtId="0" fontId="0" fillId="4" borderId="6" xfId="0" applyFill="1" applyBorder="1" applyAlignment="1">
      <alignment horizontal="center" wrapText="1"/>
    </xf>
    <xf numFmtId="0" fontId="0" fillId="4" borderId="0" xfId="0" applyFill="1" applyAlignment="1">
      <alignment horizontal="center" wrapText="1"/>
    </xf>
    <xf numFmtId="0" fontId="4" fillId="4" borderId="0" xfId="0" applyFont="1" applyFill="1" applyAlignment="1">
      <alignment horizontal="center" wrapText="1"/>
    </xf>
    <xf numFmtId="4" fontId="2" fillId="0" borderId="0" xfId="0" applyNumberFormat="1" applyFont="1" applyAlignment="1">
      <alignment horizontal="center"/>
    </xf>
    <xf numFmtId="4" fontId="2" fillId="2" borderId="1" xfId="0" applyNumberFormat="1" applyFont="1" applyFill="1" applyBorder="1" applyAlignment="1">
      <alignment horizontal="right" vertical="center"/>
    </xf>
    <xf numFmtId="4" fontId="2" fillId="3" borderId="1" xfId="0" applyNumberFormat="1" applyFont="1" applyFill="1" applyBorder="1" applyAlignment="1">
      <alignment horizontal="right" vertical="center"/>
    </xf>
    <xf numFmtId="4" fontId="14" fillId="15" borderId="1" xfId="0" applyNumberFormat="1" applyFont="1" applyFill="1" applyBorder="1" applyAlignment="1">
      <alignment horizontal="right"/>
    </xf>
    <xf numFmtId="0" fontId="4" fillId="5" borderId="6" xfId="0" applyFont="1" applyFill="1" applyBorder="1" applyAlignment="1">
      <alignment horizontal="center" wrapText="1"/>
    </xf>
    <xf numFmtId="0" fontId="0" fillId="5" borderId="6" xfId="0" applyFill="1" applyBorder="1" applyAlignment="1">
      <alignment horizontal="center" wrapText="1"/>
    </xf>
    <xf numFmtId="0" fontId="4" fillId="5" borderId="0" xfId="0" applyFont="1" applyFill="1" applyAlignment="1">
      <alignment horizontal="center" wrapText="1"/>
    </xf>
    <xf numFmtId="0" fontId="0" fillId="5" borderId="0" xfId="0" applyFill="1" applyAlignment="1">
      <alignment horizontal="center" wrapText="1"/>
    </xf>
    <xf numFmtId="4" fontId="14" fillId="4" borderId="1" xfId="0" applyNumberFormat="1" applyFont="1" applyFill="1" applyBorder="1" applyAlignment="1">
      <alignment horizontal="right"/>
    </xf>
    <xf numFmtId="3" fontId="8" fillId="7" borderId="1" xfId="0" applyNumberFormat="1" applyFont="1" applyFill="1" applyBorder="1"/>
    <xf numFmtId="0" fontId="2" fillId="17" borderId="1" xfId="0" applyFont="1" applyFill="1" applyBorder="1" applyAlignment="1">
      <alignment horizontal="center" vertical="center"/>
    </xf>
    <xf numFmtId="4" fontId="2" fillId="13" borderId="1" xfId="0" applyNumberFormat="1" applyFont="1" applyFill="1" applyBorder="1" applyAlignment="1">
      <alignment horizontal="center"/>
    </xf>
    <xf numFmtId="4" fontId="6" fillId="0" borderId="0" xfId="0" applyNumberFormat="1" applyFont="1" applyAlignment="1">
      <alignment horizontal="center" wrapText="1"/>
    </xf>
    <xf numFmtId="4" fontId="2" fillId="14" borderId="1" xfId="0" applyNumberFormat="1" applyFont="1" applyFill="1" applyBorder="1" applyAlignment="1">
      <alignment horizontal="center"/>
    </xf>
    <xf numFmtId="4" fontId="2" fillId="15" borderId="1" xfId="0" applyNumberFormat="1" applyFont="1" applyFill="1" applyBorder="1" applyAlignment="1">
      <alignment horizontal="center"/>
    </xf>
    <xf numFmtId="0" fontId="2" fillId="0" borderId="19" xfId="0" applyFont="1" applyBorder="1"/>
    <xf numFmtId="0" fontId="2" fillId="19" borderId="1" xfId="0" applyFont="1" applyFill="1" applyBorder="1"/>
    <xf numFmtId="3" fontId="8" fillId="20" borderId="1" xfId="0" applyNumberFormat="1" applyFont="1" applyFill="1" applyBorder="1"/>
    <xf numFmtId="0" fontId="2" fillId="21" borderId="1" xfId="0" applyFont="1" applyFill="1" applyBorder="1"/>
    <xf numFmtId="0" fontId="2" fillId="22" borderId="1" xfId="0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 vertical="center"/>
    </xf>
    <xf numFmtId="4" fontId="2" fillId="13" borderId="1" xfId="0" applyNumberFormat="1" applyFont="1" applyFill="1" applyBorder="1"/>
    <xf numFmtId="0" fontId="2" fillId="13" borderId="1" xfId="0" applyFont="1" applyFill="1" applyBorder="1"/>
    <xf numFmtId="0" fontId="2" fillId="13" borderId="1" xfId="0" applyFont="1" applyFill="1" applyBorder="1" applyAlignment="1">
      <alignment horizontal="center"/>
    </xf>
    <xf numFmtId="0" fontId="2" fillId="14" borderId="1" xfId="0" applyFont="1" applyFill="1" applyBorder="1"/>
    <xf numFmtId="0" fontId="2" fillId="14" borderId="1" xfId="0" applyFont="1" applyFill="1" applyBorder="1" applyAlignment="1">
      <alignment horizontal="center"/>
    </xf>
    <xf numFmtId="4" fontId="2" fillId="14" borderId="1" xfId="0" applyNumberFormat="1" applyFont="1" applyFill="1" applyBorder="1"/>
    <xf numFmtId="0" fontId="2" fillId="15" borderId="1" xfId="0" applyFont="1" applyFill="1" applyBorder="1"/>
    <xf numFmtId="0" fontId="4" fillId="30" borderId="6" xfId="0" applyFont="1" applyFill="1" applyBorder="1" applyAlignment="1">
      <alignment horizontal="center" wrapText="1"/>
    </xf>
    <xf numFmtId="0" fontId="2" fillId="15" borderId="2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0" fillId="30" borderId="6" xfId="0" applyFill="1" applyBorder="1" applyAlignment="1">
      <alignment horizontal="center" wrapText="1"/>
    </xf>
    <xf numFmtId="4" fontId="2" fillId="15" borderId="1" xfId="0" applyNumberFormat="1" applyFont="1" applyFill="1" applyBorder="1"/>
    <xf numFmtId="0" fontId="4" fillId="30" borderId="0" xfId="0" applyFont="1" applyFill="1" applyAlignment="1">
      <alignment horizontal="center" wrapText="1"/>
    </xf>
    <xf numFmtId="0" fontId="0" fillId="30" borderId="0" xfId="0" applyFill="1" applyAlignment="1">
      <alignment horizontal="center" wrapText="1"/>
    </xf>
    <xf numFmtId="0" fontId="2" fillId="0" borderId="13" xfId="0" applyFont="1" applyBorder="1"/>
    <xf numFmtId="3" fontId="8" fillId="27" borderId="1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4" fontId="2" fillId="2" borderId="1" xfId="0" applyNumberFormat="1" applyFont="1" applyFill="1" applyBorder="1"/>
    <xf numFmtId="0" fontId="2" fillId="3" borderId="1" xfId="0" applyFont="1" applyFill="1" applyBorder="1" applyAlignment="1">
      <alignment horizontal="right"/>
    </xf>
    <xf numFmtId="4" fontId="2" fillId="3" borderId="1" xfId="0" applyNumberFormat="1" applyFont="1" applyFill="1" applyBorder="1"/>
    <xf numFmtId="0" fontId="2" fillId="4" borderId="1" xfId="0" applyFont="1" applyFill="1" applyBorder="1" applyAlignment="1">
      <alignment horizontal="right"/>
    </xf>
    <xf numFmtId="0" fontId="2" fillId="4" borderId="2" xfId="0" applyFont="1" applyFill="1" applyBorder="1" applyAlignment="1">
      <alignment horizontal="right"/>
    </xf>
    <xf numFmtId="4" fontId="2" fillId="4" borderId="1" xfId="0" applyNumberFormat="1" applyFont="1" applyFill="1" applyBorder="1"/>
    <xf numFmtId="0" fontId="2" fillId="19" borderId="1" xfId="0" applyFont="1" applyFill="1" applyBorder="1" applyAlignment="1">
      <alignment horizontal="center"/>
    </xf>
    <xf numFmtId="3" fontId="8" fillId="20" borderId="1" xfId="0" applyNumberFormat="1" applyFont="1" applyFill="1" applyBorder="1" applyAlignment="1">
      <alignment horizontal="right" vertical="center"/>
    </xf>
    <xf numFmtId="0" fontId="2" fillId="15" borderId="8" xfId="0" applyFont="1" applyFill="1" applyBorder="1"/>
    <xf numFmtId="0" fontId="2" fillId="15" borderId="5" xfId="0" applyFont="1" applyFill="1" applyBorder="1"/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4" borderId="2" xfId="0" applyFont="1" applyFill="1" applyBorder="1"/>
    <xf numFmtId="0" fontId="0" fillId="24" borderId="19" xfId="0" applyFill="1" applyBorder="1" applyAlignment="1">
      <alignment horizontal="center" wrapText="1"/>
    </xf>
    <xf numFmtId="4" fontId="0" fillId="24" borderId="21" xfId="0" applyNumberFormat="1" applyFill="1" applyBorder="1" applyAlignment="1">
      <alignment horizontal="center" wrapText="1"/>
    </xf>
    <xf numFmtId="0" fontId="4" fillId="29" borderId="6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49" fontId="2" fillId="29" borderId="0" xfId="0" applyNumberFormat="1" applyFont="1" applyFill="1" applyAlignment="1">
      <alignment horizontal="center"/>
    </xf>
    <xf numFmtId="0" fontId="0" fillId="3" borderId="1" xfId="0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right" wrapText="1"/>
    </xf>
    <xf numFmtId="0" fontId="15" fillId="29" borderId="0" xfId="0" applyFont="1" applyFill="1" applyAlignment="1">
      <alignment horizontal="center" wrapText="1"/>
    </xf>
    <xf numFmtId="0" fontId="2" fillId="13" borderId="1" xfId="0" applyFont="1" applyFill="1" applyBorder="1" applyAlignment="1">
      <alignment horizontal="right"/>
    </xf>
    <xf numFmtId="0" fontId="2" fillId="14" borderId="1" xfId="0" applyFont="1" applyFill="1" applyBorder="1" applyAlignment="1">
      <alignment horizontal="right"/>
    </xf>
    <xf numFmtId="0" fontId="2" fillId="15" borderId="1" xfId="0" applyFont="1" applyFill="1" applyBorder="1" applyAlignment="1">
      <alignment horizontal="right"/>
    </xf>
    <xf numFmtId="4" fontId="7" fillId="0" borderId="0" xfId="0" applyNumberFormat="1" applyFont="1" applyAlignment="1">
      <alignment horizontal="right" wrapText="1"/>
    </xf>
    <xf numFmtId="0" fontId="4" fillId="29" borderId="0" xfId="0" applyFont="1" applyFill="1" applyAlignment="1">
      <alignment horizontal="center" wrapText="1"/>
    </xf>
    <xf numFmtId="49" fontId="2" fillId="29" borderId="10" xfId="0" applyNumberFormat="1" applyFont="1" applyFill="1" applyBorder="1" applyAlignment="1">
      <alignment horizontal="center"/>
    </xf>
    <xf numFmtId="4" fontId="2" fillId="0" borderId="10" xfId="0" applyNumberFormat="1" applyFont="1" applyBorder="1" applyAlignment="1">
      <alignment horizontal="right"/>
    </xf>
    <xf numFmtId="0" fontId="2" fillId="2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4" fontId="2" fillId="0" borderId="0" xfId="0" applyNumberFormat="1" applyFont="1" applyAlignment="1">
      <alignment horizontal="center" vertical="top" wrapText="1"/>
    </xf>
    <xf numFmtId="0" fontId="14" fillId="15" borderId="1" xfId="0" applyFont="1" applyFill="1" applyBorder="1" applyAlignment="1">
      <alignment horizontal="right"/>
    </xf>
    <xf numFmtId="49" fontId="0" fillId="29" borderId="0" xfId="0" applyNumberFormat="1" applyFill="1" applyAlignment="1">
      <alignment horizontal="center"/>
    </xf>
    <xf numFmtId="49" fontId="0" fillId="29" borderId="10" xfId="0" applyNumberFormat="1" applyFill="1" applyBorder="1" applyAlignment="1">
      <alignment horizontal="center"/>
    </xf>
    <xf numFmtId="0" fontId="14" fillId="4" borderId="1" xfId="0" applyFont="1" applyFill="1" applyBorder="1" applyAlignment="1">
      <alignment horizontal="right"/>
    </xf>
    <xf numFmtId="4" fontId="2" fillId="0" borderId="10" xfId="0" applyNumberFormat="1" applyFont="1" applyBorder="1"/>
    <xf numFmtId="4" fontId="0" fillId="0" borderId="0" xfId="0" applyNumberFormat="1" applyAlignment="1">
      <alignment horizontal="right"/>
    </xf>
    <xf numFmtId="0" fontId="2" fillId="24" borderId="1" xfId="0" applyFont="1" applyFill="1" applyBorder="1" applyAlignment="1">
      <alignment horizontal="center"/>
    </xf>
    <xf numFmtId="4" fontId="0" fillId="0" borderId="10" xfId="0" applyNumberFormat="1" applyBorder="1" applyAlignment="1">
      <alignment horizontal="right"/>
    </xf>
    <xf numFmtId="4" fontId="2" fillId="14" borderId="18" xfId="0" applyNumberFormat="1" applyFont="1" applyFill="1" applyBorder="1"/>
    <xf numFmtId="0" fontId="2" fillId="15" borderId="2" xfId="0" applyFont="1" applyFill="1" applyBorder="1"/>
    <xf numFmtId="4" fontId="2" fillId="15" borderId="18" xfId="0" applyNumberFormat="1" applyFont="1" applyFill="1" applyBorder="1"/>
    <xf numFmtId="0" fontId="2" fillId="2" borderId="5" xfId="0" applyFont="1" applyFill="1" applyBorder="1"/>
    <xf numFmtId="0" fontId="2" fillId="3" borderId="5" xfId="0" applyFont="1" applyFill="1" applyBorder="1"/>
    <xf numFmtId="4" fontId="2" fillId="3" borderId="18" xfId="0" applyNumberFormat="1" applyFont="1" applyFill="1" applyBorder="1"/>
    <xf numFmtId="0" fontId="2" fillId="4" borderId="5" xfId="0" applyFont="1" applyFill="1" applyBorder="1"/>
    <xf numFmtId="0" fontId="2" fillId="4" borderId="8" xfId="0" applyFont="1" applyFill="1" applyBorder="1"/>
    <xf numFmtId="4" fontId="2" fillId="4" borderId="18" xfId="0" applyNumberFormat="1" applyFont="1" applyFill="1" applyBorder="1"/>
    <xf numFmtId="0" fontId="2" fillId="24" borderId="2" xfId="0" applyFont="1" applyFill="1" applyBorder="1" applyAlignment="1">
      <alignment horizontal="center" vertical="center"/>
    </xf>
    <xf numFmtId="4" fontId="2" fillId="9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right"/>
    </xf>
    <xf numFmtId="0" fontId="5" fillId="24" borderId="24" xfId="0" applyFont="1" applyFill="1" applyBorder="1" applyAlignment="1">
      <alignment horizontal="center" vertical="center" wrapText="1"/>
    </xf>
    <xf numFmtId="0" fontId="5" fillId="24" borderId="9" xfId="0" applyFont="1" applyFill="1" applyBorder="1" applyAlignment="1">
      <alignment horizontal="center" vertical="center"/>
    </xf>
    <xf numFmtId="0" fontId="5" fillId="24" borderId="25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24" xfId="0" applyBorder="1" applyAlignment="1">
      <alignment horizontal="center" wrapText="1"/>
    </xf>
    <xf numFmtId="0" fontId="2" fillId="20" borderId="9" xfId="0" applyFont="1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5" fillId="18" borderId="9" xfId="0" applyFont="1" applyFill="1" applyBorder="1" applyAlignment="1">
      <alignment horizontal="center" vertical="center" wrapText="1"/>
    </xf>
    <xf numFmtId="0" fontId="5" fillId="23" borderId="9" xfId="0" applyFont="1" applyFill="1" applyBorder="1" applyAlignment="1">
      <alignment horizontal="center" vertical="center" wrapText="1"/>
    </xf>
    <xf numFmtId="0" fontId="0" fillId="4" borderId="25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18" borderId="24" xfId="0" applyFont="1" applyFill="1" applyBorder="1" applyAlignment="1">
      <alignment horizontal="center" vertical="center" wrapText="1"/>
    </xf>
    <xf numFmtId="0" fontId="5" fillId="0" borderId="9" xfId="0" applyFont="1" applyBorder="1"/>
    <xf numFmtId="0" fontId="5" fillId="0" borderId="25" xfId="0" applyFont="1" applyBorder="1"/>
    <xf numFmtId="0" fontId="2" fillId="29" borderId="26" xfId="0" applyFont="1" applyFill="1" applyBorder="1" applyAlignment="1">
      <alignment horizontal="center" vertical="center"/>
    </xf>
    <xf numFmtId="0" fontId="2" fillId="29" borderId="1" xfId="0" applyFont="1" applyFill="1" applyBorder="1" applyAlignment="1">
      <alignment horizontal="center" vertical="center" wrapText="1"/>
    </xf>
    <xf numFmtId="0" fontId="2" fillId="29" borderId="27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 wrapText="1"/>
    </xf>
    <xf numFmtId="4" fontId="2" fillId="20" borderId="1" xfId="0" applyNumberFormat="1" applyFont="1" applyFill="1" applyBorder="1" applyAlignment="1">
      <alignment horizontal="right" vertical="center"/>
    </xf>
    <xf numFmtId="0" fontId="2" fillId="18" borderId="1" xfId="0" applyFont="1" applyFill="1" applyBorder="1" applyAlignment="1">
      <alignment horizontal="center" vertical="center" wrapText="1"/>
    </xf>
    <xf numFmtId="4" fontId="2" fillId="23" borderId="1" xfId="0" applyNumberFormat="1" applyFont="1" applyFill="1" applyBorder="1" applyAlignment="1">
      <alignment horizontal="right"/>
    </xf>
    <xf numFmtId="4" fontId="2" fillId="4" borderId="28" xfId="0" applyNumberFormat="1" applyFont="1" applyFill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/>
    </xf>
    <xf numFmtId="0" fontId="5" fillId="0" borderId="26" xfId="0" applyFont="1" applyBorder="1" applyAlignment="1">
      <alignment wrapText="1"/>
    </xf>
    <xf numFmtId="4" fontId="5" fillId="0" borderId="1" xfId="0" applyNumberFormat="1" applyFont="1" applyBorder="1" applyAlignment="1">
      <alignment wrapText="1"/>
    </xf>
    <xf numFmtId="4" fontId="2" fillId="0" borderId="27" xfId="0" applyNumberFormat="1" applyFont="1" applyBorder="1"/>
    <xf numFmtId="0" fontId="2" fillId="24" borderId="26" xfId="0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 vertical="center" wrapText="1"/>
    </xf>
    <xf numFmtId="0" fontId="2" fillId="24" borderId="27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wrapText="1"/>
    </xf>
    <xf numFmtId="49" fontId="2" fillId="20" borderId="5" xfId="0" applyNumberFormat="1" applyFont="1" applyFill="1" applyBorder="1" applyAlignment="1">
      <alignment horizontal="right" vertical="center"/>
    </xf>
    <xf numFmtId="4" fontId="0" fillId="3" borderId="5" xfId="0" applyNumberFormat="1" applyFill="1" applyBorder="1" applyAlignment="1">
      <alignment horizontal="right" wrapText="1"/>
    </xf>
    <xf numFmtId="4" fontId="0" fillId="5" borderId="5" xfId="0" applyNumberFormat="1" applyFill="1" applyBorder="1" applyAlignment="1">
      <alignment horizontal="right" wrapText="1"/>
    </xf>
    <xf numFmtId="0" fontId="2" fillId="18" borderId="5" xfId="0" applyFont="1" applyFill="1" applyBorder="1" applyAlignment="1">
      <alignment horizontal="center" vertical="center" wrapText="1"/>
    </xf>
    <xf numFmtId="4" fontId="2" fillId="23" borderId="5" xfId="0" applyNumberFormat="1" applyFont="1" applyFill="1" applyBorder="1" applyAlignment="1">
      <alignment horizontal="right"/>
    </xf>
    <xf numFmtId="4" fontId="0" fillId="29" borderId="26" xfId="0" applyNumberFormat="1" applyFill="1" applyBorder="1" applyAlignment="1">
      <alignment horizontal="center" vertical="center" wrapText="1"/>
    </xf>
    <xf numFmtId="4" fontId="0" fillId="29" borderId="27" xfId="0" applyNumberFormat="1" applyFill="1" applyBorder="1" applyAlignment="1">
      <alignment horizontal="center" vertical="center" wrapText="1"/>
    </xf>
    <xf numFmtId="0" fontId="0" fillId="0" borderId="30" xfId="0" applyBorder="1" applyAlignment="1">
      <alignment horizontal="center" wrapText="1"/>
    </xf>
    <xf numFmtId="49" fontId="2" fillId="20" borderId="31" xfId="0" applyNumberFormat="1" applyFont="1" applyFill="1" applyBorder="1" applyAlignment="1">
      <alignment horizontal="right" vertical="center"/>
    </xf>
    <xf numFmtId="4" fontId="0" fillId="3" borderId="31" xfId="0" applyNumberFormat="1" applyFill="1" applyBorder="1" applyAlignment="1">
      <alignment horizontal="right" wrapText="1"/>
    </xf>
    <xf numFmtId="4" fontId="0" fillId="5" borderId="31" xfId="0" applyNumberFormat="1" applyFill="1" applyBorder="1" applyAlignment="1">
      <alignment horizontal="right" wrapText="1"/>
    </xf>
    <xf numFmtId="0" fontId="2" fillId="18" borderId="31" xfId="0" applyFont="1" applyFill="1" applyBorder="1" applyAlignment="1">
      <alignment horizontal="center" vertical="center" wrapText="1"/>
    </xf>
    <xf numFmtId="4" fontId="2" fillId="23" borderId="31" xfId="0" applyNumberFormat="1" applyFont="1" applyFill="1" applyBorder="1" applyAlignment="1">
      <alignment horizontal="right"/>
    </xf>
    <xf numFmtId="0" fontId="5" fillId="0" borderId="33" xfId="0" applyFont="1" applyBorder="1" applyAlignment="1">
      <alignment wrapText="1"/>
    </xf>
    <xf numFmtId="4" fontId="2" fillId="0" borderId="34" xfId="0" applyNumberFormat="1" applyFont="1" applyBorder="1"/>
    <xf numFmtId="4" fontId="2" fillId="0" borderId="21" xfId="0" applyNumberFormat="1" applyFont="1" applyBorder="1"/>
    <xf numFmtId="4" fontId="5" fillId="0" borderId="34" xfId="0" applyNumberFormat="1" applyFont="1" applyBorder="1" applyAlignment="1">
      <alignment wrapText="1"/>
    </xf>
    <xf numFmtId="4" fontId="2" fillId="0" borderId="35" xfId="0" applyNumberFormat="1" applyFont="1" applyBorder="1"/>
    <xf numFmtId="0" fontId="2" fillId="0" borderId="26" xfId="0" applyFont="1" applyBorder="1" applyAlignment="1">
      <alignment horizontal="center"/>
    </xf>
    <xf numFmtId="49" fontId="2" fillId="20" borderId="1" xfId="0" applyNumberFormat="1" applyFont="1" applyFill="1" applyBorder="1" applyAlignment="1">
      <alignment horizontal="right" vertical="center"/>
    </xf>
    <xf numFmtId="0" fontId="2" fillId="0" borderId="29" xfId="0" applyFont="1" applyBorder="1" applyAlignment="1">
      <alignment horizontal="center"/>
    </xf>
    <xf numFmtId="49" fontId="2" fillId="20" borderId="5" xfId="0" applyNumberFormat="1" applyFont="1" applyFill="1" applyBorder="1" applyAlignment="1">
      <alignment horizontal="right"/>
    </xf>
    <xf numFmtId="4" fontId="2" fillId="5" borderId="5" xfId="0" applyNumberFormat="1" applyFont="1" applyFill="1" applyBorder="1" applyAlignment="1">
      <alignment horizontal="right"/>
    </xf>
    <xf numFmtId="0" fontId="2" fillId="0" borderId="30" xfId="0" applyFont="1" applyBorder="1" applyAlignment="1">
      <alignment horizontal="center"/>
    </xf>
    <xf numFmtId="4" fontId="2" fillId="5" borderId="31" xfId="0" applyNumberFormat="1" applyFont="1" applyFill="1" applyBorder="1" applyAlignment="1">
      <alignment horizontal="right"/>
    </xf>
    <xf numFmtId="0" fontId="17" fillId="0" borderId="0" xfId="0" applyFont="1" applyAlignment="1">
      <alignment horizontal="center"/>
    </xf>
    <xf numFmtId="49" fontId="2" fillId="20" borderId="31" xfId="0" applyNumberFormat="1" applyFont="1" applyFill="1" applyBorder="1" applyAlignment="1">
      <alignment horizontal="right"/>
    </xf>
    <xf numFmtId="4" fontId="2" fillId="0" borderId="0" xfId="0" applyNumberFormat="1" applyFont="1" applyAlignment="1">
      <alignment horizontal="center" vertical="center" wrapText="1"/>
    </xf>
    <xf numFmtId="0" fontId="2" fillId="24" borderId="33" xfId="0" applyFont="1" applyFill="1" applyBorder="1" applyAlignment="1">
      <alignment horizontal="center" vertical="center"/>
    </xf>
    <xf numFmtId="0" fontId="2" fillId="24" borderId="34" xfId="0" applyFont="1" applyFill="1" applyBorder="1" applyAlignment="1">
      <alignment horizontal="center" vertical="center" wrapText="1"/>
    </xf>
    <xf numFmtId="0" fontId="2" fillId="24" borderId="35" xfId="0" applyFont="1" applyFill="1" applyBorder="1" applyAlignment="1">
      <alignment horizontal="center" vertical="center"/>
    </xf>
    <xf numFmtId="0" fontId="2" fillId="0" borderId="37" xfId="0" applyFont="1" applyBorder="1" applyAlignment="1">
      <alignment horizontal="center"/>
    </xf>
    <xf numFmtId="49" fontId="2" fillId="20" borderId="38" xfId="0" applyNumberFormat="1" applyFont="1" applyFill="1" applyBorder="1" applyAlignment="1">
      <alignment horizontal="right"/>
    </xf>
    <xf numFmtId="4" fontId="0" fillId="3" borderId="38" xfId="0" applyNumberFormat="1" applyFill="1" applyBorder="1" applyAlignment="1">
      <alignment horizontal="right" wrapText="1"/>
    </xf>
    <xf numFmtId="4" fontId="0" fillId="5" borderId="38" xfId="0" applyNumberFormat="1" applyFill="1" applyBorder="1" applyAlignment="1">
      <alignment horizontal="right" wrapText="1"/>
    </xf>
    <xf numFmtId="4" fontId="2" fillId="5" borderId="38" xfId="0" applyNumberFormat="1" applyFont="1" applyFill="1" applyBorder="1" applyAlignment="1">
      <alignment horizontal="right"/>
    </xf>
    <xf numFmtId="0" fontId="2" fillId="18" borderId="38" xfId="0" applyFont="1" applyFill="1" applyBorder="1" applyAlignment="1">
      <alignment horizontal="center" vertical="center" wrapText="1"/>
    </xf>
    <xf numFmtId="4" fontId="2" fillId="23" borderId="38" xfId="0" applyNumberFormat="1" applyFont="1" applyFill="1" applyBorder="1" applyAlignment="1">
      <alignment horizontal="right"/>
    </xf>
    <xf numFmtId="0" fontId="2" fillId="4" borderId="39" xfId="0" applyFont="1" applyFill="1" applyBorder="1" applyAlignment="1">
      <alignment horizontal="center" vertical="center"/>
    </xf>
    <xf numFmtId="0" fontId="0" fillId="24" borderId="27" xfId="0" applyFill="1" applyBorder="1" applyAlignment="1">
      <alignment horizontal="center" wrapText="1"/>
    </xf>
    <xf numFmtId="0" fontId="0" fillId="24" borderId="3" xfId="0" applyFill="1" applyBorder="1" applyAlignment="1">
      <alignment horizontal="center" wrapText="1"/>
    </xf>
    <xf numFmtId="4" fontId="0" fillId="13" borderId="2" xfId="0" applyNumberFormat="1" applyFill="1" applyBorder="1" applyAlignment="1">
      <alignment horizontal="center"/>
    </xf>
    <xf numFmtId="4" fontId="0" fillId="14" borderId="2" xfId="0" applyNumberFormat="1" applyFill="1" applyBorder="1" applyAlignment="1">
      <alignment horizontal="center" vertical="center"/>
    </xf>
    <xf numFmtId="4" fontId="0" fillId="14" borderId="27" xfId="0" applyNumberFormat="1" applyFill="1" applyBorder="1" applyAlignment="1">
      <alignment horizontal="center" vertical="center"/>
    </xf>
    <xf numFmtId="4" fontId="0" fillId="15" borderId="2" xfId="0" applyNumberFormat="1" applyFill="1" applyBorder="1" applyAlignment="1">
      <alignment horizontal="center" vertical="center"/>
    </xf>
    <xf numFmtId="4" fontId="0" fillId="15" borderId="4" xfId="0" applyNumberFormat="1" applyFill="1" applyBorder="1" applyAlignment="1">
      <alignment horizontal="center" vertical="center"/>
    </xf>
    <xf numFmtId="4" fontId="0" fillId="15" borderId="42" xfId="0" applyNumberFormat="1" applyFill="1" applyBorder="1" applyAlignment="1">
      <alignment horizontal="center" vertical="center"/>
    </xf>
    <xf numFmtId="4" fontId="0" fillId="15" borderId="3" xfId="0" applyNumberFormat="1" applyFill="1" applyBorder="1" applyAlignment="1">
      <alignment horizontal="center" vertical="center"/>
    </xf>
    <xf numFmtId="4" fontId="0" fillId="17" borderId="2" xfId="0" applyNumberFormat="1" applyFill="1" applyBorder="1" applyAlignment="1">
      <alignment horizontal="center" vertical="center"/>
    </xf>
    <xf numFmtId="4" fontId="0" fillId="17" borderId="27" xfId="0" applyNumberFormat="1" applyFill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4" fontId="0" fillId="2" borderId="2" xfId="0" applyNumberFormat="1" applyFill="1" applyBorder="1" applyAlignment="1">
      <alignment horizontal="center"/>
    </xf>
    <xf numFmtId="4" fontId="0" fillId="3" borderId="2" xfId="0" applyNumberFormat="1" applyFill="1" applyBorder="1" applyAlignment="1">
      <alignment horizontal="center" vertical="center"/>
    </xf>
    <xf numFmtId="4" fontId="0" fillId="3" borderId="27" xfId="0" applyNumberFormat="1" applyFill="1" applyBorder="1" applyAlignment="1">
      <alignment horizontal="center" vertical="center"/>
    </xf>
    <xf numFmtId="4" fontId="0" fillId="4" borderId="2" xfId="0" applyNumberFormat="1" applyFill="1" applyBorder="1" applyAlignment="1">
      <alignment horizontal="center" vertical="center"/>
    </xf>
    <xf numFmtId="4" fontId="0" fillId="4" borderId="4" xfId="0" applyNumberFormat="1" applyFill="1" applyBorder="1" applyAlignment="1">
      <alignment horizontal="center" vertical="center"/>
    </xf>
    <xf numFmtId="4" fontId="0" fillId="4" borderId="42" xfId="0" applyNumberFormat="1" applyFill="1" applyBorder="1" applyAlignment="1">
      <alignment horizontal="center" vertical="center"/>
    </xf>
    <xf numFmtId="4" fontId="0" fillId="4" borderId="3" xfId="0" applyNumberFormat="1" applyFill="1" applyBorder="1" applyAlignment="1">
      <alignment horizontal="center" vertical="center"/>
    </xf>
    <xf numFmtId="4" fontId="0" fillId="5" borderId="2" xfId="0" applyNumberFormat="1" applyFill="1" applyBorder="1" applyAlignment="1">
      <alignment horizontal="center" vertical="center"/>
    </xf>
    <xf numFmtId="4" fontId="0" fillId="5" borderId="27" xfId="0" applyNumberFormat="1" applyFill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4" fontId="0" fillId="2" borderId="44" xfId="0" applyNumberFormat="1" applyFill="1" applyBorder="1" applyAlignment="1">
      <alignment horizontal="center"/>
    </xf>
    <xf numFmtId="4" fontId="0" fillId="3" borderId="44" xfId="0" applyNumberFormat="1" applyFill="1" applyBorder="1" applyAlignment="1">
      <alignment horizontal="center" vertical="center"/>
    </xf>
    <xf numFmtId="4" fontId="0" fillId="3" borderId="35" xfId="0" applyNumberFormat="1" applyFill="1" applyBorder="1" applyAlignment="1">
      <alignment horizontal="center" vertical="center"/>
    </xf>
    <xf numFmtId="4" fontId="0" fillId="4" borderId="44" xfId="0" applyNumberFormat="1" applyFill="1" applyBorder="1" applyAlignment="1">
      <alignment horizontal="center" vertical="center"/>
    </xf>
    <xf numFmtId="4" fontId="0" fillId="4" borderId="45" xfId="0" applyNumberFormat="1" applyFill="1" applyBorder="1" applyAlignment="1">
      <alignment horizontal="center" vertical="center"/>
    </xf>
    <xf numFmtId="4" fontId="0" fillId="4" borderId="46" xfId="0" applyNumberFormat="1" applyFill="1" applyBorder="1" applyAlignment="1">
      <alignment horizontal="center" vertical="center"/>
    </xf>
    <xf numFmtId="4" fontId="0" fillId="4" borderId="47" xfId="0" applyNumberFormat="1" applyFill="1" applyBorder="1" applyAlignment="1">
      <alignment horizontal="center" vertical="center"/>
    </xf>
    <xf numFmtId="4" fontId="0" fillId="5" borderId="44" xfId="0" applyNumberFormat="1" applyFill="1" applyBorder="1" applyAlignment="1">
      <alignment horizontal="center" vertical="center"/>
    </xf>
    <xf numFmtId="4" fontId="0" fillId="5" borderId="35" xfId="0" applyNumberFormat="1" applyFill="1" applyBorder="1" applyAlignment="1">
      <alignment horizontal="center" vertical="center"/>
    </xf>
    <xf numFmtId="0" fontId="0" fillId="13" borderId="12" xfId="0" applyFill="1" applyBorder="1" applyAlignment="1">
      <alignment horizontal="center"/>
    </xf>
    <xf numFmtId="0" fontId="0" fillId="14" borderId="12" xfId="0" applyFill="1" applyBorder="1" applyAlignment="1">
      <alignment horizontal="center" vertical="center"/>
    </xf>
    <xf numFmtId="0" fontId="0" fillId="14" borderId="25" xfId="0" applyFill="1" applyBorder="1" applyAlignment="1">
      <alignment horizontal="center" vertical="center"/>
    </xf>
    <xf numFmtId="4" fontId="0" fillId="14" borderId="12" xfId="0" applyNumberFormat="1" applyFill="1" applyBorder="1" applyAlignment="1">
      <alignment horizontal="center" vertical="center"/>
    </xf>
    <xf numFmtId="0" fontId="0" fillId="15" borderId="12" xfId="0" applyFill="1" applyBorder="1" applyAlignment="1">
      <alignment horizontal="center" vertical="center"/>
    </xf>
    <xf numFmtId="0" fontId="0" fillId="15" borderId="10" xfId="0" applyFill="1" applyBorder="1" applyAlignment="1">
      <alignment horizontal="center" vertical="center"/>
    </xf>
    <xf numFmtId="0" fontId="0" fillId="15" borderId="41" xfId="0" applyFill="1" applyBorder="1" applyAlignment="1">
      <alignment horizontal="center" vertical="center"/>
    </xf>
    <xf numFmtId="0" fontId="0" fillId="15" borderId="11" xfId="0" applyFill="1" applyBorder="1" applyAlignment="1">
      <alignment horizontal="center" vertical="center"/>
    </xf>
    <xf numFmtId="0" fontId="0" fillId="17" borderId="12" xfId="0" applyFill="1" applyBorder="1" applyAlignment="1">
      <alignment horizontal="center" vertical="center"/>
    </xf>
    <xf numFmtId="0" fontId="0" fillId="17" borderId="25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/>
    </xf>
    <xf numFmtId="0" fontId="0" fillId="14" borderId="2" xfId="0" applyFill="1" applyBorder="1" applyAlignment="1">
      <alignment horizontal="center" vertical="center"/>
    </xf>
    <xf numFmtId="0" fontId="0" fillId="14" borderId="27" xfId="0" applyFill="1" applyBorder="1" applyAlignment="1">
      <alignment horizontal="center" vertical="center"/>
    </xf>
    <xf numFmtId="0" fontId="0" fillId="15" borderId="2" xfId="0" applyFill="1" applyBorder="1" applyAlignment="1">
      <alignment horizontal="center" vertical="center"/>
    </xf>
    <xf numFmtId="0" fontId="0" fillId="15" borderId="4" xfId="0" applyFill="1" applyBorder="1" applyAlignment="1">
      <alignment horizontal="center" vertical="center"/>
    </xf>
    <xf numFmtId="0" fontId="0" fillId="15" borderId="42" xfId="0" applyFill="1" applyBorder="1" applyAlignment="1">
      <alignment horizontal="center" vertical="center"/>
    </xf>
    <xf numFmtId="0" fontId="0" fillId="17" borderId="2" xfId="0" applyFill="1" applyBorder="1" applyAlignment="1">
      <alignment horizontal="center" vertical="center"/>
    </xf>
    <xf numFmtId="0" fontId="0" fillId="17" borderId="27" xfId="0" applyFill="1" applyBorder="1" applyAlignment="1">
      <alignment horizontal="center" vertical="center"/>
    </xf>
    <xf numFmtId="4" fontId="0" fillId="3" borderId="4" xfId="0" applyNumberFormat="1" applyFill="1" applyBorder="1" applyAlignment="1">
      <alignment horizontal="center" vertical="center"/>
    </xf>
    <xf numFmtId="4" fontId="0" fillId="4" borderId="27" xfId="0" applyNumberFormat="1" applyFill="1" applyBorder="1" applyAlignment="1">
      <alignment horizontal="center" vertical="center"/>
    </xf>
    <xf numFmtId="4" fontId="0" fillId="3" borderId="45" xfId="0" applyNumberFormat="1" applyFill="1" applyBorder="1" applyAlignment="1">
      <alignment horizontal="center" vertical="center"/>
    </xf>
    <xf numFmtId="4" fontId="0" fillId="4" borderId="35" xfId="0" applyNumberFormat="1" applyFill="1" applyBorder="1" applyAlignment="1">
      <alignment horizontal="center" vertical="center"/>
    </xf>
    <xf numFmtId="4" fontId="0" fillId="13" borderId="12" xfId="0" applyNumberFormat="1" applyFill="1" applyBorder="1" applyAlignment="1">
      <alignment horizontal="center"/>
    </xf>
    <xf numFmtId="4" fontId="0" fillId="14" borderId="25" xfId="0" applyNumberFormat="1" applyFill="1" applyBorder="1" applyAlignment="1">
      <alignment horizontal="center" vertical="center"/>
    </xf>
    <xf numFmtId="4" fontId="0" fillId="15" borderId="12" xfId="0" applyNumberFormat="1" applyFill="1" applyBorder="1" applyAlignment="1">
      <alignment horizontal="center" vertical="center"/>
    </xf>
    <xf numFmtId="4" fontId="0" fillId="15" borderId="10" xfId="0" applyNumberFormat="1" applyFill="1" applyBorder="1" applyAlignment="1">
      <alignment horizontal="center" vertical="center"/>
    </xf>
    <xf numFmtId="4" fontId="0" fillId="15" borderId="41" xfId="0" applyNumberFormat="1" applyFill="1" applyBorder="1" applyAlignment="1">
      <alignment horizontal="center" vertical="center"/>
    </xf>
    <xf numFmtId="4" fontId="0" fillId="15" borderId="11" xfId="0" applyNumberFormat="1" applyFill="1" applyBorder="1" applyAlignment="1">
      <alignment horizontal="center" vertical="center"/>
    </xf>
    <xf numFmtId="4" fontId="0" fillId="17" borderId="12" xfId="0" applyNumberFormat="1" applyFill="1" applyBorder="1" applyAlignment="1">
      <alignment horizontal="center" vertical="center"/>
    </xf>
    <xf numFmtId="4" fontId="0" fillId="17" borderId="25" xfId="0" applyNumberFormat="1" applyFill="1" applyBorder="1" applyAlignment="1">
      <alignment horizontal="center" vertical="center"/>
    </xf>
    <xf numFmtId="0" fontId="0" fillId="15" borderId="3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/>
    </xf>
    <xf numFmtId="0" fontId="2" fillId="22" borderId="5" xfId="0" applyFont="1" applyFill="1" applyBorder="1"/>
    <xf numFmtId="0" fontId="1" fillId="0" borderId="9" xfId="0" applyFont="1" applyBorder="1"/>
    <xf numFmtId="0" fontId="2" fillId="4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23" borderId="5" xfId="0" applyFont="1" applyFill="1" applyBorder="1" applyAlignment="1">
      <alignment horizontal="center" vertical="center"/>
    </xf>
    <xf numFmtId="0" fontId="2" fillId="24" borderId="2" xfId="0" applyFont="1" applyFill="1" applyBorder="1" applyAlignment="1">
      <alignment horizontal="center"/>
    </xf>
    <xf numFmtId="0" fontId="1" fillId="0" borderId="4" xfId="0" applyFont="1" applyBorder="1"/>
    <xf numFmtId="0" fontId="1" fillId="0" borderId="3" xfId="0" applyFont="1" applyBorder="1"/>
    <xf numFmtId="0" fontId="2" fillId="24" borderId="6" xfId="0" applyFont="1" applyFill="1" applyBorder="1"/>
    <xf numFmtId="0" fontId="1" fillId="0" borderId="6" xfId="0" applyFont="1" applyBorder="1"/>
    <xf numFmtId="0" fontId="1" fillId="0" borderId="7" xfId="0" applyFont="1" applyBorder="1"/>
    <xf numFmtId="0" fontId="1" fillId="0" borderId="10" xfId="0" applyFont="1" applyBorder="1"/>
    <xf numFmtId="0" fontId="1" fillId="0" borderId="11" xfId="0" applyFont="1" applyBorder="1"/>
    <xf numFmtId="0" fontId="2" fillId="24" borderId="5" xfId="0" applyFont="1" applyFill="1" applyBorder="1" applyAlignment="1">
      <alignment horizontal="center"/>
    </xf>
    <xf numFmtId="0" fontId="2" fillId="24" borderId="8" xfId="0" applyFont="1" applyFill="1" applyBorder="1"/>
    <xf numFmtId="0" fontId="1" fillId="0" borderId="12" xfId="0" applyFont="1" applyBorder="1"/>
    <xf numFmtId="0" fontId="2" fillId="24" borderId="5" xfId="0" applyFont="1" applyFill="1" applyBorder="1"/>
    <xf numFmtId="0" fontId="2" fillId="25" borderId="0" xfId="0" applyFont="1" applyFill="1"/>
    <xf numFmtId="0" fontId="0" fillId="0" borderId="0" xfId="0"/>
    <xf numFmtId="0" fontId="1" fillId="0" borderId="13" xfId="0" applyFont="1" applyBorder="1"/>
    <xf numFmtId="0" fontId="2" fillId="25" borderId="14" xfId="0" applyFont="1" applyFill="1" applyBorder="1"/>
    <xf numFmtId="0" fontId="2" fillId="0" borderId="14" xfId="0" applyFont="1" applyBorder="1"/>
    <xf numFmtId="0" fontId="4" fillId="13" borderId="2" xfId="0" applyFont="1" applyFill="1" applyBorder="1" applyAlignment="1">
      <alignment horizontal="center" wrapText="1"/>
    </xf>
    <xf numFmtId="0" fontId="4" fillId="14" borderId="2" xfId="0" applyFont="1" applyFill="1" applyBorder="1" applyAlignment="1">
      <alignment horizontal="center" vertical="center" wrapText="1"/>
    </xf>
    <xf numFmtId="0" fontId="4" fillId="15" borderId="2" xfId="0" applyFont="1" applyFill="1" applyBorder="1" applyAlignment="1">
      <alignment horizontal="center" vertical="center" wrapText="1"/>
    </xf>
    <xf numFmtId="0" fontId="4" fillId="17" borderId="2" xfId="0" applyFont="1" applyFill="1" applyBorder="1" applyAlignment="1">
      <alignment horizontal="center" vertical="center" wrapText="1"/>
    </xf>
    <xf numFmtId="0" fontId="0" fillId="19" borderId="5" xfId="0" applyFill="1" applyBorder="1" applyAlignment="1">
      <alignment horizontal="center" wrapText="1"/>
    </xf>
    <xf numFmtId="3" fontId="8" fillId="20" borderId="5" xfId="0" applyNumberFormat="1" applyFont="1" applyFill="1" applyBorder="1"/>
    <xf numFmtId="0" fontId="2" fillId="21" borderId="5" xfId="0" applyFont="1" applyFill="1" applyBorder="1"/>
    <xf numFmtId="4" fontId="0" fillId="24" borderId="2" xfId="0" applyNumberFormat="1" applyFill="1" applyBorder="1" applyAlignment="1">
      <alignment horizontal="center" wrapText="1"/>
    </xf>
    <xf numFmtId="0" fontId="2" fillId="0" borderId="15" xfId="0" applyFont="1" applyBorder="1" applyAlignment="1">
      <alignment horizontal="center"/>
    </xf>
    <xf numFmtId="0" fontId="1" fillId="0" borderId="16" xfId="0" applyFont="1" applyBorder="1"/>
    <xf numFmtId="0" fontId="1" fillId="0" borderId="17" xfId="0" applyFont="1" applyBorder="1"/>
    <xf numFmtId="4" fontId="2" fillId="9" borderId="5" xfId="0" applyNumberFormat="1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0" borderId="10" xfId="0" applyFont="1" applyBorder="1"/>
    <xf numFmtId="0" fontId="2" fillId="10" borderId="5" xfId="0" applyFont="1" applyFill="1" applyBorder="1" applyAlignment="1">
      <alignment horizontal="center" vertical="center"/>
    </xf>
    <xf numFmtId="0" fontId="1" fillId="0" borderId="18" xfId="0" applyFont="1" applyBorder="1"/>
    <xf numFmtId="0" fontId="2" fillId="12" borderId="5" xfId="0" applyFont="1" applyFill="1" applyBorder="1" applyAlignment="1">
      <alignment horizontal="center" vertical="center"/>
    </xf>
    <xf numFmtId="4" fontId="2" fillId="0" borderId="2" xfId="0" applyNumberFormat="1" applyFont="1" applyBorder="1" applyAlignment="1">
      <alignment horizontal="center"/>
    </xf>
    <xf numFmtId="0" fontId="2" fillId="24" borderId="10" xfId="0" applyFont="1" applyFill="1" applyBorder="1"/>
    <xf numFmtId="0" fontId="2" fillId="16" borderId="0" xfId="0" applyFont="1" applyFill="1"/>
    <xf numFmtId="0" fontId="2" fillId="24" borderId="4" xfId="0" applyFont="1" applyFill="1" applyBorder="1"/>
    <xf numFmtId="0" fontId="2" fillId="0" borderId="0" xfId="0" applyFont="1"/>
    <xf numFmtId="0" fontId="2" fillId="15" borderId="5" xfId="0" applyFont="1" applyFill="1" applyBorder="1" applyAlignment="1">
      <alignment horizontal="center" vertical="center"/>
    </xf>
    <xf numFmtId="0" fontId="2" fillId="17" borderId="5" xfId="0" applyFont="1" applyFill="1" applyBorder="1" applyAlignment="1">
      <alignment horizontal="center" vertical="center"/>
    </xf>
    <xf numFmtId="0" fontId="2" fillId="24" borderId="2" xfId="0" applyFont="1" applyFill="1" applyBorder="1"/>
    <xf numFmtId="4" fontId="2" fillId="9" borderId="5" xfId="0" applyNumberFormat="1" applyFont="1" applyFill="1" applyBorder="1" applyAlignment="1">
      <alignment horizontal="center" vertical="center" wrapText="1"/>
    </xf>
    <xf numFmtId="4" fontId="2" fillId="25" borderId="0" xfId="0" applyNumberFormat="1" applyFont="1" applyFill="1"/>
    <xf numFmtId="4" fontId="2" fillId="0" borderId="0" xfId="0" applyNumberFormat="1" applyFont="1"/>
    <xf numFmtId="4" fontId="2" fillId="25" borderId="12" xfId="0" applyNumberFormat="1" applyFont="1" applyFill="1" applyBorder="1"/>
    <xf numFmtId="0" fontId="2" fillId="25" borderId="10" xfId="0" applyFont="1" applyFill="1" applyBorder="1"/>
    <xf numFmtId="4" fontId="2" fillId="25" borderId="14" xfId="0" applyNumberFormat="1" applyFont="1" applyFill="1" applyBorder="1"/>
    <xf numFmtId="4" fontId="2" fillId="0" borderId="14" xfId="0" applyNumberFormat="1" applyFont="1" applyBorder="1"/>
    <xf numFmtId="4" fontId="16" fillId="4" borderId="32" xfId="0" applyNumberFormat="1" applyFont="1" applyFill="1" applyBorder="1" applyAlignment="1">
      <alignment horizontal="center" vertical="center" wrapText="1"/>
    </xf>
    <xf numFmtId="0" fontId="1" fillId="0" borderId="25" xfId="0" applyFont="1" applyBorder="1"/>
    <xf numFmtId="4" fontId="18" fillId="4" borderId="32" xfId="0" applyNumberFormat="1" applyFont="1" applyFill="1" applyBorder="1" applyAlignment="1">
      <alignment horizontal="center" vertical="center" wrapText="1"/>
    </xf>
    <xf numFmtId="0" fontId="1" fillId="0" borderId="36" xfId="0" applyFont="1" applyBorder="1"/>
    <xf numFmtId="0" fontId="5" fillId="0" borderId="15" xfId="0" applyFont="1" applyBorder="1" applyAlignment="1">
      <alignment horizontal="center"/>
    </xf>
    <xf numFmtId="4" fontId="2" fillId="4" borderId="28" xfId="0" applyNumberFormat="1" applyFont="1" applyFill="1" applyBorder="1" applyAlignment="1">
      <alignment horizontal="center" vertical="center" wrapText="1"/>
    </xf>
    <xf numFmtId="4" fontId="2" fillId="4" borderId="32" xfId="0" applyNumberFormat="1" applyFont="1" applyFill="1" applyBorder="1" applyAlignment="1">
      <alignment horizontal="center" vertical="center" wrapText="1"/>
    </xf>
    <xf numFmtId="0" fontId="2" fillId="24" borderId="5" xfId="0" applyFont="1" applyFill="1" applyBorder="1" applyAlignment="1">
      <alignment horizontal="center" vertical="center" wrapText="1"/>
    </xf>
    <xf numFmtId="0" fontId="2" fillId="29" borderId="5" xfId="0" applyFont="1" applyFill="1" applyBorder="1" applyAlignment="1">
      <alignment horizontal="center" vertical="center" wrapText="1"/>
    </xf>
    <xf numFmtId="0" fontId="4" fillId="14" borderId="12" xfId="0" applyFont="1" applyFill="1" applyBorder="1" applyAlignment="1">
      <alignment horizontal="center" vertical="center" wrapText="1"/>
    </xf>
    <xf numFmtId="0" fontId="4" fillId="15" borderId="12" xfId="0" applyFont="1" applyFill="1" applyBorder="1" applyAlignment="1">
      <alignment horizontal="center" vertical="center" wrapText="1"/>
    </xf>
    <xf numFmtId="0" fontId="1" fillId="0" borderId="41" xfId="0" applyFont="1" applyBorder="1"/>
    <xf numFmtId="0" fontId="1" fillId="0" borderId="42" xfId="0" applyFont="1" applyBorder="1"/>
    <xf numFmtId="0" fontId="5" fillId="0" borderId="29" xfId="0" applyFont="1" applyBorder="1" applyAlignment="1">
      <alignment horizontal="center" vertical="center"/>
    </xf>
    <xf numFmtId="0" fontId="1" fillId="0" borderId="40" xfId="0" applyFont="1" applyBorder="1"/>
    <xf numFmtId="0" fontId="5" fillId="0" borderId="40" xfId="0" applyFont="1" applyBorder="1" applyAlignment="1">
      <alignment horizontal="center" vertical="center"/>
    </xf>
    <xf numFmtId="4" fontId="0" fillId="31" borderId="8" xfId="0" applyNumberFormat="1" applyFill="1" applyBorder="1" applyAlignment="1">
      <alignment horizontal="center"/>
    </xf>
    <xf numFmtId="0" fontId="1" fillId="0" borderId="14" xfId="0" applyFont="1" applyBorder="1"/>
    <xf numFmtId="4" fontId="0" fillId="16" borderId="8" xfId="0" applyNumberFormat="1" applyFill="1" applyBorder="1" applyAlignment="1">
      <alignment horizontal="center"/>
    </xf>
    <xf numFmtId="0" fontId="1" fillId="0" borderId="49" xfId="0" applyFont="1" applyBorder="1"/>
    <xf numFmtId="0" fontId="1" fillId="0" borderId="21" xfId="0" applyFont="1" applyBorder="1"/>
    <xf numFmtId="4" fontId="0" fillId="31" borderId="14" xfId="0" applyNumberFormat="1" applyFill="1" applyBorder="1" applyAlignment="1">
      <alignment horizontal="center"/>
    </xf>
    <xf numFmtId="4" fontId="0" fillId="16" borderId="8" xfId="0" applyNumberFormat="1" applyFill="1" applyBorder="1" applyAlignment="1">
      <alignment horizontal="center" vertical="center"/>
    </xf>
    <xf numFmtId="0" fontId="1" fillId="0" borderId="48" xfId="0" applyFont="1" applyBorder="1"/>
    <xf numFmtId="0" fontId="1" fillId="0" borderId="23" xfId="0" applyFont="1" applyBorder="1"/>
    <xf numFmtId="4" fontId="0" fillId="31" borderId="14" xfId="0" applyNumberFormat="1" applyFill="1" applyBorder="1" applyAlignment="1">
      <alignment horizontal="center" vertical="center"/>
    </xf>
    <xf numFmtId="0" fontId="1" fillId="0" borderId="20" xfId="0" applyFont="1" applyBorder="1"/>
    <xf numFmtId="0" fontId="0" fillId="24" borderId="8" xfId="0" applyFill="1" applyBorder="1" applyAlignment="1">
      <alignment horizontal="center"/>
    </xf>
    <xf numFmtId="4" fontId="0" fillId="31" borderId="8" xfId="0" applyNumberFormat="1" applyFill="1" applyBorder="1" applyAlignment="1">
      <alignment horizontal="center" vertical="center"/>
    </xf>
    <xf numFmtId="4" fontId="0" fillId="16" borderId="6" xfId="0" applyNumberFormat="1" applyFill="1" applyBorder="1" applyAlignment="1">
      <alignment horizontal="center" vertical="center"/>
    </xf>
    <xf numFmtId="0" fontId="1" fillId="0" borderId="22" xfId="0" applyFont="1" applyBorder="1"/>
    <xf numFmtId="4" fontId="0" fillId="31" borderId="0" xfId="0" applyNumberFormat="1" applyFill="1" applyAlignment="1">
      <alignment horizontal="center" vertical="center"/>
    </xf>
    <xf numFmtId="4" fontId="0" fillId="31" borderId="6" xfId="0" applyNumberFormat="1" applyFill="1" applyBorder="1" applyAlignment="1">
      <alignment horizontal="center" vertical="center"/>
    </xf>
    <xf numFmtId="0" fontId="4" fillId="15" borderId="10" xfId="0" applyFont="1" applyFill="1" applyBorder="1" applyAlignment="1">
      <alignment horizontal="center" vertical="center" wrapText="1"/>
    </xf>
    <xf numFmtId="0" fontId="4" fillId="17" borderId="12" xfId="0" applyFont="1" applyFill="1" applyBorder="1" applyAlignment="1">
      <alignment horizontal="center" vertical="center" wrapText="1"/>
    </xf>
    <xf numFmtId="0" fontId="2" fillId="24" borderId="4" xfId="0" applyFont="1" applyFill="1" applyBorder="1" applyAlignment="1">
      <alignment horizontal="center"/>
    </xf>
    <xf numFmtId="0" fontId="4" fillId="13" borderId="12" xfId="0" applyFont="1" applyFill="1" applyBorder="1" applyAlignment="1">
      <alignment horizontal="center" wrapText="1"/>
    </xf>
    <xf numFmtId="4" fontId="0" fillId="29" borderId="0" xfId="0" applyNumberFormat="1" applyFill="1" applyAlignment="1">
      <alignment horizontal="center" vertical="center" wrapText="1"/>
    </xf>
    <xf numFmtId="4" fontId="2" fillId="29" borderId="0" xfId="0" applyNumberFormat="1" applyFont="1" applyFill="1" applyAlignment="1">
      <alignment horizontal="center" vertical="center" wrapText="1"/>
    </xf>
    <xf numFmtId="0" fontId="0" fillId="29" borderId="0" xfId="0" applyFill="1" applyAlignment="1">
      <alignment horizontal="center" wrapText="1"/>
    </xf>
    <xf numFmtId="0" fontId="3" fillId="29" borderId="0" xfId="0" applyFont="1" applyFill="1" applyAlignment="1">
      <alignment horizontal="center" wrapText="1"/>
    </xf>
    <xf numFmtId="0" fontId="2" fillId="24" borderId="0" xfId="0" applyFont="1" applyFill="1" applyAlignment="1">
      <alignment horizontal="center"/>
    </xf>
    <xf numFmtId="0" fontId="2" fillId="24" borderId="0" xfId="0" applyFont="1" applyFill="1" applyAlignment="1">
      <alignment horizontal="center" vertical="center"/>
    </xf>
    <xf numFmtId="0" fontId="2" fillId="29" borderId="0" xfId="0" applyFont="1" applyFill="1" applyAlignment="1">
      <alignment horizontal="center" vertical="center" wrapText="1"/>
    </xf>
    <xf numFmtId="0" fontId="2" fillId="29" borderId="0" xfId="0" applyFont="1" applyFill="1" applyAlignment="1">
      <alignment horizontal="center" wrapText="1"/>
    </xf>
    <xf numFmtId="0" fontId="2" fillId="3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30" borderId="6" xfId="0" applyFont="1" applyFill="1" applyBorder="1" applyAlignment="1">
      <alignment horizontal="center" vertical="center"/>
    </xf>
    <xf numFmtId="0" fontId="0" fillId="19" borderId="2" xfId="0" applyFill="1" applyBorder="1" applyAlignment="1">
      <alignment horizontal="center" wrapText="1"/>
    </xf>
    <xf numFmtId="0" fontId="2" fillId="29" borderId="19" xfId="0" applyFont="1" applyFill="1" applyBorder="1"/>
    <xf numFmtId="0" fontId="11" fillId="29" borderId="0" xfId="0" applyFont="1" applyFill="1" applyAlignment="1">
      <alignment horizontal="center"/>
    </xf>
    <xf numFmtId="0" fontId="3" fillId="29" borderId="0" xfId="0" applyFont="1" applyFill="1" applyAlignment="1">
      <alignment horizontal="center"/>
    </xf>
    <xf numFmtId="0" fontId="2" fillId="0" borderId="0" xfId="0" applyFont="1" applyBorder="1"/>
    <xf numFmtId="0" fontId="0" fillId="0" borderId="0" xfId="0" applyBorder="1"/>
    <xf numFmtId="4" fontId="2" fillId="0" borderId="0" xfId="0" applyNumberFormat="1" applyFont="1" applyBorder="1"/>
    <xf numFmtId="0" fontId="0" fillId="0" borderId="50" xfId="0" applyBorder="1"/>
    <xf numFmtId="4" fontId="2" fillId="0" borderId="51" xfId="0" applyNumberFormat="1" applyFont="1" applyBorder="1"/>
    <xf numFmtId="0" fontId="0" fillId="0" borderId="52" xfId="0" applyBorder="1"/>
    <xf numFmtId="0" fontId="0" fillId="0" borderId="53" xfId="0" applyBorder="1"/>
  </cellXfs>
  <cellStyles count="1">
    <cellStyle name="Normal" xfId="0" builtinId="0"/>
  </cellStyles>
  <dxfs count="10">
    <dxf>
      <fill>
        <patternFill patternType="solid">
          <fgColor rgb="FF6AA84F"/>
          <bgColor rgb="FF6AA84F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CC0000"/>
          <bgColor rgb="FFCC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Alexnet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PTQ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numRef>
              <c:f>'AxCQ qconfig test'!$B$5:$B$22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'AxCQ qconfig test'!$G$5:$G$22</c:f>
              <c:numCache>
                <c:formatCode>#,##0.00</c:formatCode>
                <c:ptCount val="18"/>
                <c:pt idx="0">
                  <c:v>88.660000000000011</c:v>
                </c:pt>
                <c:pt idx="1">
                  <c:v>88.526666666666657</c:v>
                </c:pt>
                <c:pt idx="2">
                  <c:v>88.49666666666667</c:v>
                </c:pt>
                <c:pt idx="3">
                  <c:v>88.68</c:v>
                </c:pt>
                <c:pt idx="4">
                  <c:v>87.95</c:v>
                </c:pt>
                <c:pt idx="5">
                  <c:v>87.626666666666665</c:v>
                </c:pt>
                <c:pt idx="6">
                  <c:v>87.963333333333324</c:v>
                </c:pt>
                <c:pt idx="7">
                  <c:v>87.969999999999985</c:v>
                </c:pt>
                <c:pt idx="8">
                  <c:v>88.713333333333324</c:v>
                </c:pt>
                <c:pt idx="9">
                  <c:v>88.589999999999989</c:v>
                </c:pt>
                <c:pt idx="10">
                  <c:v>88.546666666666667</c:v>
                </c:pt>
                <c:pt idx="11">
                  <c:v>88.713333333333324</c:v>
                </c:pt>
                <c:pt idx="12">
                  <c:v>85.88</c:v>
                </c:pt>
                <c:pt idx="13">
                  <c:v>13.290000000000001</c:v>
                </c:pt>
                <c:pt idx="14">
                  <c:v>85.883333333333326</c:v>
                </c:pt>
                <c:pt idx="15">
                  <c:v>55.363333333333323</c:v>
                </c:pt>
                <c:pt idx="16">
                  <c:v>72.75</c:v>
                </c:pt>
                <c:pt idx="17">
                  <c:v>84.773333333333326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87-41C5-A399-9D90B0A54EFE}"/>
            </c:ext>
          </c:extLst>
        </c:ser>
        <c:ser>
          <c:idx val="1"/>
          <c:order val="1"/>
          <c:tx>
            <c:v>APTQ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numRef>
              <c:f>'AxCQ qconfig test'!$B$5:$B$22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'AxCQ qconfig test'!$G$23:$G$40</c:f>
              <c:numCache>
                <c:formatCode>#,##0.00</c:formatCode>
                <c:ptCount val="18"/>
                <c:pt idx="0">
                  <c:v>87.219999999999985</c:v>
                </c:pt>
                <c:pt idx="1">
                  <c:v>20.623333333333335</c:v>
                </c:pt>
                <c:pt idx="2">
                  <c:v>20.806666666666668</c:v>
                </c:pt>
                <c:pt idx="3">
                  <c:v>87.356666666666669</c:v>
                </c:pt>
                <c:pt idx="4">
                  <c:v>86.706666666666663</c:v>
                </c:pt>
                <c:pt idx="5">
                  <c:v>76.2</c:v>
                </c:pt>
                <c:pt idx="6">
                  <c:v>76.546666666666667</c:v>
                </c:pt>
                <c:pt idx="7">
                  <c:v>86.456666666666663</c:v>
                </c:pt>
                <c:pt idx="8">
                  <c:v>87.38</c:v>
                </c:pt>
                <c:pt idx="9">
                  <c:v>20.49</c:v>
                </c:pt>
                <c:pt idx="10">
                  <c:v>20.570000000000004</c:v>
                </c:pt>
                <c:pt idx="11">
                  <c:v>87.40333333333335</c:v>
                </c:pt>
                <c:pt idx="12">
                  <c:v>83.653333333333336</c:v>
                </c:pt>
                <c:pt idx="13">
                  <c:v>13.163333333333332</c:v>
                </c:pt>
                <c:pt idx="14">
                  <c:v>83.493333333333339</c:v>
                </c:pt>
                <c:pt idx="15">
                  <c:v>27.856666666666666</c:v>
                </c:pt>
                <c:pt idx="16">
                  <c:v>64.826666666666668</c:v>
                </c:pt>
                <c:pt idx="17">
                  <c:v>81.766666666666666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87-41C5-A399-9D90B0A54EFE}"/>
            </c:ext>
          </c:extLst>
        </c:ser>
        <c:ser>
          <c:idx val="2"/>
          <c:order val="2"/>
          <c:tx>
            <c:v>QAT</c:v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7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numRef>
              <c:f>'AxCQ qconfig test'!$B$5:$B$22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'AxCQ qconfig test'!$G$41:$G$58</c:f>
              <c:numCache>
                <c:formatCode>#,##0.00</c:formatCode>
                <c:ptCount val="18"/>
                <c:pt idx="0">
                  <c:v>90.563333333333333</c:v>
                </c:pt>
                <c:pt idx="1">
                  <c:v>90.443333333333328</c:v>
                </c:pt>
                <c:pt idx="2">
                  <c:v>90.086666666666659</c:v>
                </c:pt>
                <c:pt idx="3">
                  <c:v>91.24666666666667</c:v>
                </c:pt>
                <c:pt idx="4">
                  <c:v>90.546666666666667</c:v>
                </c:pt>
                <c:pt idx="5">
                  <c:v>90.27</c:v>
                </c:pt>
                <c:pt idx="6">
                  <c:v>90.776666666666657</c:v>
                </c:pt>
                <c:pt idx="7">
                  <c:v>89.360000000000014</c:v>
                </c:pt>
                <c:pt idx="8">
                  <c:v>90.38</c:v>
                </c:pt>
                <c:pt idx="9">
                  <c:v>90.853333333333339</c:v>
                </c:pt>
                <c:pt idx="10">
                  <c:v>90.65000000000002</c:v>
                </c:pt>
                <c:pt idx="11">
                  <c:v>90.226666666666674</c:v>
                </c:pt>
                <c:pt idx="12">
                  <c:v>86.149999999999991</c:v>
                </c:pt>
                <c:pt idx="13">
                  <c:v>32.43</c:v>
                </c:pt>
                <c:pt idx="14">
                  <c:v>85.673333333333332</c:v>
                </c:pt>
                <c:pt idx="15">
                  <c:v>39.643333333333331</c:v>
                </c:pt>
                <c:pt idx="16">
                  <c:v>67.61999999999999</c:v>
                </c:pt>
                <c:pt idx="17">
                  <c:v>85.350000000000009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87-41C5-A399-9D90B0A54EFE}"/>
            </c:ext>
          </c:extLst>
        </c:ser>
        <c:ser>
          <c:idx val="3"/>
          <c:order val="3"/>
          <c:tx>
            <c:v>AQAT</c:v>
          </c:tx>
          <c:spPr>
            <a:ln cmpd="sng">
              <a:solidFill>
                <a:srgbClr val="34A853"/>
              </a:solidFill>
            </a:ln>
          </c:spPr>
          <c:marker>
            <c:symbol val="circle"/>
            <c:size val="7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numRef>
              <c:f>'AxCQ qconfig test'!$B$5:$B$22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'AxCQ qconfig test'!$G$59:$G$76</c:f>
              <c:numCache>
                <c:formatCode>#,##0.00</c:formatCode>
                <c:ptCount val="18"/>
                <c:pt idx="0">
                  <c:v>90.383333333333326</c:v>
                </c:pt>
                <c:pt idx="1">
                  <c:v>88.816666666666677</c:v>
                </c:pt>
                <c:pt idx="2">
                  <c:v>89.219999999999985</c:v>
                </c:pt>
                <c:pt idx="3">
                  <c:v>90.320000000000007</c:v>
                </c:pt>
                <c:pt idx="4">
                  <c:v>90.373333333333335</c:v>
                </c:pt>
                <c:pt idx="5">
                  <c:v>90.366666666666674</c:v>
                </c:pt>
                <c:pt idx="6">
                  <c:v>90.32</c:v>
                </c:pt>
                <c:pt idx="7">
                  <c:v>90.68</c:v>
                </c:pt>
                <c:pt idx="8">
                  <c:v>90.126666666666665</c:v>
                </c:pt>
                <c:pt idx="9">
                  <c:v>89.42</c:v>
                </c:pt>
                <c:pt idx="10">
                  <c:v>89.323333333333338</c:v>
                </c:pt>
                <c:pt idx="11">
                  <c:v>90.373333333333335</c:v>
                </c:pt>
                <c:pt idx="12">
                  <c:v>85.929999999999993</c:v>
                </c:pt>
                <c:pt idx="13">
                  <c:v>10</c:v>
                </c:pt>
                <c:pt idx="14">
                  <c:v>84.423333333333332</c:v>
                </c:pt>
                <c:pt idx="15">
                  <c:v>10</c:v>
                </c:pt>
                <c:pt idx="16">
                  <c:v>63.426666666666669</c:v>
                </c:pt>
                <c:pt idx="17">
                  <c:v>84.586666666666659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87-41C5-A399-9D90B0A54E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5313124"/>
        <c:axId val="1122651211"/>
      </c:lineChart>
      <c:catAx>
        <c:axId val="7153131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Configuration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22651211"/>
        <c:crosses val="autoZero"/>
        <c:auto val="1"/>
        <c:lblAlgn val="ctr"/>
        <c:lblOffset val="100"/>
        <c:noMultiLvlLbl val="1"/>
      </c:catAx>
      <c:valAx>
        <c:axId val="11226512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Top-1 Accuracy (%)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1531312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VGG-16_BN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PTQ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numRef>
              <c:f>'AxCQ qconfig test'!$B$5:$B$22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'AxCQ qconfig test'!$I$5:$I$22</c:f>
              <c:numCache>
                <c:formatCode>#,##0.00</c:formatCode>
                <c:ptCount val="18"/>
                <c:pt idx="0">
                  <c:v>92.803333333333342</c:v>
                </c:pt>
                <c:pt idx="1">
                  <c:v>88.443333333333328</c:v>
                </c:pt>
                <c:pt idx="2">
                  <c:v>92.74666666666667</c:v>
                </c:pt>
                <c:pt idx="3">
                  <c:v>90.49666666666667</c:v>
                </c:pt>
                <c:pt idx="4">
                  <c:v>92.743333333333339</c:v>
                </c:pt>
                <c:pt idx="5">
                  <c:v>89.070000000000007</c:v>
                </c:pt>
                <c:pt idx="6">
                  <c:v>92</c:v>
                </c:pt>
                <c:pt idx="7">
                  <c:v>88.876666666666665</c:v>
                </c:pt>
                <c:pt idx="8">
                  <c:v>92.89</c:v>
                </c:pt>
                <c:pt idx="9">
                  <c:v>88.053333333333342</c:v>
                </c:pt>
                <c:pt idx="10">
                  <c:v>92.806666666666672</c:v>
                </c:pt>
                <c:pt idx="11">
                  <c:v>88.029999999999987</c:v>
                </c:pt>
                <c:pt idx="12">
                  <c:v>90.783333333333346</c:v>
                </c:pt>
                <c:pt idx="13">
                  <c:v>21.743333333333336</c:v>
                </c:pt>
                <c:pt idx="14">
                  <c:v>90.893333333333317</c:v>
                </c:pt>
                <c:pt idx="15">
                  <c:v>15.763333333333334</c:v>
                </c:pt>
                <c:pt idx="16">
                  <c:v>88.163333333333341</c:v>
                </c:pt>
                <c:pt idx="17">
                  <c:v>87.033333333333346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CC-4971-A63E-379D597309A3}"/>
            </c:ext>
          </c:extLst>
        </c:ser>
        <c:ser>
          <c:idx val="1"/>
          <c:order val="1"/>
          <c:tx>
            <c:v>APTQ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numRef>
              <c:f>'AxCQ qconfig test'!$B$5:$B$22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'AxCQ qconfig test'!$I$23:$I$40</c:f>
              <c:numCache>
                <c:formatCode>#,##0.00</c:formatCode>
                <c:ptCount val="18"/>
                <c:pt idx="0">
                  <c:v>91.55</c:v>
                </c:pt>
                <c:pt idx="1">
                  <c:v>12.530000000000001</c:v>
                </c:pt>
                <c:pt idx="2">
                  <c:v>13.649999999999999</c:v>
                </c:pt>
                <c:pt idx="3">
                  <c:v>88.193333333333342</c:v>
                </c:pt>
                <c:pt idx="4">
                  <c:v>91.813333333333333</c:v>
                </c:pt>
                <c:pt idx="5">
                  <c:v>81.17</c:v>
                </c:pt>
                <c:pt idx="6">
                  <c:v>82.486666666666665</c:v>
                </c:pt>
                <c:pt idx="7">
                  <c:v>86.106666666666683</c:v>
                </c:pt>
                <c:pt idx="8">
                  <c:v>91.820000000000007</c:v>
                </c:pt>
                <c:pt idx="9">
                  <c:v>12.116666666666667</c:v>
                </c:pt>
                <c:pt idx="10">
                  <c:v>12.886666666666665</c:v>
                </c:pt>
                <c:pt idx="11">
                  <c:v>84.58</c:v>
                </c:pt>
                <c:pt idx="12">
                  <c:v>89.850000000000009</c:v>
                </c:pt>
                <c:pt idx="13">
                  <c:v>11.993333333333332</c:v>
                </c:pt>
                <c:pt idx="14">
                  <c:v>90.123333333333335</c:v>
                </c:pt>
                <c:pt idx="15">
                  <c:v>11.57</c:v>
                </c:pt>
                <c:pt idx="16">
                  <c:v>12.25</c:v>
                </c:pt>
                <c:pt idx="17">
                  <c:v>82.643333333333331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CC-4971-A63E-379D597309A3}"/>
            </c:ext>
          </c:extLst>
        </c:ser>
        <c:ser>
          <c:idx val="2"/>
          <c:order val="2"/>
          <c:tx>
            <c:v>QAT</c:v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7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numRef>
              <c:f>'AxCQ qconfig test'!$B$5:$B$22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'AxCQ qconfig test'!$I$41:$I$58</c:f>
              <c:numCache>
                <c:formatCode>#,##0.00</c:formatCode>
                <c:ptCount val="18"/>
                <c:pt idx="0">
                  <c:v>93.470000000000013</c:v>
                </c:pt>
                <c:pt idx="1">
                  <c:v>89.910000000000011</c:v>
                </c:pt>
                <c:pt idx="2">
                  <c:v>93.733333333333334</c:v>
                </c:pt>
                <c:pt idx="3">
                  <c:v>88.933333333333323</c:v>
                </c:pt>
                <c:pt idx="4">
                  <c:v>93.333333333333329</c:v>
                </c:pt>
                <c:pt idx="5">
                  <c:v>88.506666666666661</c:v>
                </c:pt>
                <c:pt idx="6">
                  <c:v>93.34333333333332</c:v>
                </c:pt>
                <c:pt idx="7">
                  <c:v>90.163333333333341</c:v>
                </c:pt>
                <c:pt idx="8">
                  <c:v>93.850000000000009</c:v>
                </c:pt>
                <c:pt idx="9">
                  <c:v>89.273333333333355</c:v>
                </c:pt>
                <c:pt idx="10">
                  <c:v>93.733333333333334</c:v>
                </c:pt>
                <c:pt idx="11">
                  <c:v>89.2</c:v>
                </c:pt>
                <c:pt idx="12">
                  <c:v>92.24</c:v>
                </c:pt>
                <c:pt idx="13">
                  <c:v>14.816666666666668</c:v>
                </c:pt>
                <c:pt idx="14">
                  <c:v>92.183333333333337</c:v>
                </c:pt>
                <c:pt idx="15">
                  <c:v>17.3</c:v>
                </c:pt>
                <c:pt idx="16">
                  <c:v>82.176666666666677</c:v>
                </c:pt>
                <c:pt idx="17">
                  <c:v>87.323333333333338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CC-4971-A63E-379D597309A3}"/>
            </c:ext>
          </c:extLst>
        </c:ser>
        <c:ser>
          <c:idx val="3"/>
          <c:order val="3"/>
          <c:tx>
            <c:v>AQAT</c:v>
          </c:tx>
          <c:spPr>
            <a:ln cmpd="sng">
              <a:solidFill>
                <a:srgbClr val="34A853"/>
              </a:solidFill>
            </a:ln>
          </c:spPr>
          <c:marker>
            <c:symbol val="circle"/>
            <c:size val="7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numRef>
              <c:f>'AxCQ qconfig test'!$B$5:$B$22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'AxCQ qconfig test'!$I$59:$I$76</c:f>
              <c:numCache>
                <c:formatCode>#,##0.00</c:formatCode>
                <c:ptCount val="18"/>
                <c:pt idx="0">
                  <c:v>93.61</c:v>
                </c:pt>
                <c:pt idx="1">
                  <c:v>89.733333333333334</c:v>
                </c:pt>
                <c:pt idx="2">
                  <c:v>93.653333333333322</c:v>
                </c:pt>
                <c:pt idx="3">
                  <c:v>88.523333333333355</c:v>
                </c:pt>
                <c:pt idx="4">
                  <c:v>92.23</c:v>
                </c:pt>
                <c:pt idx="5">
                  <c:v>88.230000000000018</c:v>
                </c:pt>
                <c:pt idx="6">
                  <c:v>92.473333333333343</c:v>
                </c:pt>
                <c:pt idx="7">
                  <c:v>89.969999999999985</c:v>
                </c:pt>
                <c:pt idx="8">
                  <c:v>93.92</c:v>
                </c:pt>
                <c:pt idx="9">
                  <c:v>90.866666666666674</c:v>
                </c:pt>
                <c:pt idx="10">
                  <c:v>93.316666666666663</c:v>
                </c:pt>
                <c:pt idx="11">
                  <c:v>90.089999999999989</c:v>
                </c:pt>
                <c:pt idx="12">
                  <c:v>92.356666666666669</c:v>
                </c:pt>
                <c:pt idx="13">
                  <c:v>15.763333333333334</c:v>
                </c:pt>
                <c:pt idx="14">
                  <c:v>92.133333333333326</c:v>
                </c:pt>
                <c:pt idx="15">
                  <c:v>14.633333333333333</c:v>
                </c:pt>
                <c:pt idx="16">
                  <c:v>91.873333333333335</c:v>
                </c:pt>
                <c:pt idx="17">
                  <c:v>85.7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7CC-4971-A63E-379D59730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6677"/>
        <c:axId val="1996845669"/>
      </c:lineChart>
      <c:catAx>
        <c:axId val="11666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Configuration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96845669"/>
        <c:crosses val="autoZero"/>
        <c:auto val="1"/>
        <c:lblAlgn val="ctr"/>
        <c:lblOffset val="100"/>
        <c:noMultiLvlLbl val="1"/>
      </c:catAx>
      <c:valAx>
        <c:axId val="19968456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Top-1 Accuracy (%)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6667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Alexnet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'AxCQ qconfig test'!$O$83:$O$116</c:f>
              <c:strCache>
                <c:ptCount val="34"/>
                <c:pt idx="0">
                  <c:v>1 - 5</c:v>
                </c:pt>
                <c:pt idx="1">
                  <c:v>2 - 6</c:v>
                </c:pt>
                <c:pt idx="2">
                  <c:v>3 - 7</c:v>
                </c:pt>
                <c:pt idx="3">
                  <c:v>4 - 8</c:v>
                </c:pt>
                <c:pt idx="4">
                  <c:v>1 - 9</c:v>
                </c:pt>
                <c:pt idx="5">
                  <c:v>2 - 10</c:v>
                </c:pt>
                <c:pt idx="6">
                  <c:v>3 - 11</c:v>
                </c:pt>
                <c:pt idx="7">
                  <c:v>4 - 12</c:v>
                </c:pt>
                <c:pt idx="8">
                  <c:v>5 - 9</c:v>
                </c:pt>
                <c:pt idx="9">
                  <c:v>6 - 10</c:v>
                </c:pt>
                <c:pt idx="10">
                  <c:v>7 - 11</c:v>
                </c:pt>
                <c:pt idx="11">
                  <c:v>8 -12</c:v>
                </c:pt>
                <c:pt idx="12">
                  <c:v>1 - 13</c:v>
                </c:pt>
                <c:pt idx="13">
                  <c:v>2 - 14</c:v>
                </c:pt>
                <c:pt idx="14">
                  <c:v>9 - 15</c:v>
                </c:pt>
                <c:pt idx="15">
                  <c:v>10 - 16</c:v>
                </c:pt>
                <c:pt idx="16">
                  <c:v>11 - 17</c:v>
                </c:pt>
                <c:pt idx="17">
                  <c:v>12 - 18</c:v>
                </c:pt>
                <c:pt idx="18">
                  <c:v>1 - 4</c:v>
                </c:pt>
                <c:pt idx="19">
                  <c:v>2 - 3</c:v>
                </c:pt>
                <c:pt idx="20">
                  <c:v>5 - 8</c:v>
                </c:pt>
                <c:pt idx="21">
                  <c:v>6 - 7</c:v>
                </c:pt>
                <c:pt idx="22">
                  <c:v>9 - 12</c:v>
                </c:pt>
                <c:pt idx="23">
                  <c:v>10 - 11</c:v>
                </c:pt>
                <c:pt idx="24">
                  <c:v>15 - 18</c:v>
                </c:pt>
                <c:pt idx="25">
                  <c:v>16 - 17</c:v>
                </c:pt>
                <c:pt idx="26">
                  <c:v>1 - 3</c:v>
                </c:pt>
                <c:pt idx="27">
                  <c:v>2 - 4</c:v>
                </c:pt>
                <c:pt idx="28">
                  <c:v>5 - 7</c:v>
                </c:pt>
                <c:pt idx="29">
                  <c:v>6 - 8</c:v>
                </c:pt>
                <c:pt idx="30">
                  <c:v>9 - 11</c:v>
                </c:pt>
                <c:pt idx="31">
                  <c:v>10 - 12</c:v>
                </c:pt>
                <c:pt idx="32">
                  <c:v>15- 17</c:v>
                </c:pt>
                <c:pt idx="33">
                  <c:v>16 - 18</c:v>
                </c:pt>
              </c:strCache>
            </c:strRef>
          </c:cat>
          <c:val>
            <c:numRef>
              <c:f>'AxCQ qconfig test'!$P$83:$P$116</c:f>
              <c:numCache>
                <c:formatCode>#,##0.00</c:formatCode>
                <c:ptCount val="34"/>
                <c:pt idx="0">
                  <c:v>0.19666666666668675</c:v>
                </c:pt>
                <c:pt idx="1">
                  <c:v>56.476666666666659</c:v>
                </c:pt>
                <c:pt idx="2">
                  <c:v>56.273333333333341</c:v>
                </c:pt>
                <c:pt idx="3">
                  <c:v>0.18999999999998352</c:v>
                </c:pt>
                <c:pt idx="4">
                  <c:v>0.10666666666669755</c:v>
                </c:pt>
                <c:pt idx="5">
                  <c:v>0.19666666666667254</c:v>
                </c:pt>
                <c:pt idx="6">
                  <c:v>0.28666666666666174</c:v>
                </c:pt>
                <c:pt idx="7">
                  <c:v>1.3333333333363839E-2</c:v>
                </c:pt>
                <c:pt idx="8">
                  <c:v>8.99999999999892E-2</c:v>
                </c:pt>
                <c:pt idx="9">
                  <c:v>56.673333333333332</c:v>
                </c:pt>
                <c:pt idx="10">
                  <c:v>56.56</c:v>
                </c:pt>
                <c:pt idx="11">
                  <c:v>0.20333333333334735</c:v>
                </c:pt>
                <c:pt idx="12">
                  <c:v>0.78666666666663332</c:v>
                </c:pt>
                <c:pt idx="13">
                  <c:v>67.776666666666657</c:v>
                </c:pt>
                <c:pt idx="14">
                  <c:v>1.0566666666666578</c:v>
                </c:pt>
                <c:pt idx="15">
                  <c:v>40.593333333333334</c:v>
                </c:pt>
                <c:pt idx="16">
                  <c:v>60.053333333333327</c:v>
                </c:pt>
                <c:pt idx="17">
                  <c:v>1.6966666666666868</c:v>
                </c:pt>
                <c:pt idx="18">
                  <c:v>0.11666666666668846</c:v>
                </c:pt>
                <c:pt idx="19">
                  <c:v>0.21333333333332405</c:v>
                </c:pt>
                <c:pt idx="20">
                  <c:v>0.26999999999998181</c:v>
                </c:pt>
                <c:pt idx="21">
                  <c:v>1.0000000000005116E-2</c:v>
                </c:pt>
                <c:pt idx="22">
                  <c:v>2.3333333333354744E-2</c:v>
                </c:pt>
                <c:pt idx="23">
                  <c:v>0.12333333333333485</c:v>
                </c:pt>
                <c:pt idx="24">
                  <c:v>0.61666666666667425</c:v>
                </c:pt>
                <c:pt idx="25">
                  <c:v>19.583333333333325</c:v>
                </c:pt>
                <c:pt idx="26">
                  <c:v>66.249999999999972</c:v>
                </c:pt>
                <c:pt idx="27">
                  <c:v>66.579999999999984</c:v>
                </c:pt>
                <c:pt idx="28">
                  <c:v>10.173333333333318</c:v>
                </c:pt>
                <c:pt idx="29">
                  <c:v>9.9133333333333411</c:v>
                </c:pt>
                <c:pt idx="30">
                  <c:v>66.643333333333331</c:v>
                </c:pt>
                <c:pt idx="31">
                  <c:v>66.79000000000002</c:v>
                </c:pt>
                <c:pt idx="32">
                  <c:v>5.5333333333333456</c:v>
                </c:pt>
                <c:pt idx="33">
                  <c:v>24.499999999999996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0B-4F90-A91A-1BBED3C473F6}"/>
            </c:ext>
          </c:extLst>
        </c:ser>
        <c:ser>
          <c:idx val="1"/>
          <c:order val="1"/>
          <c:tx>
            <c:v>VGG-16_BN</c:v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'AxCQ qconfig test'!$O$83:$O$116</c:f>
              <c:strCache>
                <c:ptCount val="34"/>
                <c:pt idx="0">
                  <c:v>1 - 5</c:v>
                </c:pt>
                <c:pt idx="1">
                  <c:v>2 - 6</c:v>
                </c:pt>
                <c:pt idx="2">
                  <c:v>3 - 7</c:v>
                </c:pt>
                <c:pt idx="3">
                  <c:v>4 - 8</c:v>
                </c:pt>
                <c:pt idx="4">
                  <c:v>1 - 9</c:v>
                </c:pt>
                <c:pt idx="5">
                  <c:v>2 - 10</c:v>
                </c:pt>
                <c:pt idx="6">
                  <c:v>3 - 11</c:v>
                </c:pt>
                <c:pt idx="7">
                  <c:v>4 - 12</c:v>
                </c:pt>
                <c:pt idx="8">
                  <c:v>5 - 9</c:v>
                </c:pt>
                <c:pt idx="9">
                  <c:v>6 - 10</c:v>
                </c:pt>
                <c:pt idx="10">
                  <c:v>7 - 11</c:v>
                </c:pt>
                <c:pt idx="11">
                  <c:v>8 -12</c:v>
                </c:pt>
                <c:pt idx="12">
                  <c:v>1 - 13</c:v>
                </c:pt>
                <c:pt idx="13">
                  <c:v>2 - 14</c:v>
                </c:pt>
                <c:pt idx="14">
                  <c:v>9 - 15</c:v>
                </c:pt>
                <c:pt idx="15">
                  <c:v>10 - 16</c:v>
                </c:pt>
                <c:pt idx="16">
                  <c:v>11 - 17</c:v>
                </c:pt>
                <c:pt idx="17">
                  <c:v>12 - 18</c:v>
                </c:pt>
                <c:pt idx="18">
                  <c:v>1 - 4</c:v>
                </c:pt>
                <c:pt idx="19">
                  <c:v>2 - 3</c:v>
                </c:pt>
                <c:pt idx="20">
                  <c:v>5 - 8</c:v>
                </c:pt>
                <c:pt idx="21">
                  <c:v>6 - 7</c:v>
                </c:pt>
                <c:pt idx="22">
                  <c:v>9 - 12</c:v>
                </c:pt>
                <c:pt idx="23">
                  <c:v>10 - 11</c:v>
                </c:pt>
                <c:pt idx="24">
                  <c:v>15 - 18</c:v>
                </c:pt>
                <c:pt idx="25">
                  <c:v>16 - 17</c:v>
                </c:pt>
                <c:pt idx="26">
                  <c:v>1 - 3</c:v>
                </c:pt>
                <c:pt idx="27">
                  <c:v>2 - 4</c:v>
                </c:pt>
                <c:pt idx="28">
                  <c:v>5 - 7</c:v>
                </c:pt>
                <c:pt idx="29">
                  <c:v>6 - 8</c:v>
                </c:pt>
                <c:pt idx="30">
                  <c:v>9 - 11</c:v>
                </c:pt>
                <c:pt idx="31">
                  <c:v>10 - 12</c:v>
                </c:pt>
                <c:pt idx="32">
                  <c:v>15- 17</c:v>
                </c:pt>
                <c:pt idx="33">
                  <c:v>16 - 18</c:v>
                </c:pt>
              </c:strCache>
            </c:strRef>
          </c:cat>
          <c:val>
            <c:numRef>
              <c:f>'AxCQ qconfig test'!$Q$83:$Q$116</c:f>
              <c:numCache>
                <c:formatCode>#,##0.00</c:formatCode>
                <c:ptCount val="34"/>
                <c:pt idx="0">
                  <c:v>0.32333333333333769</c:v>
                </c:pt>
                <c:pt idx="1">
                  <c:v>68.013333333333321</c:v>
                </c:pt>
                <c:pt idx="2">
                  <c:v>69.583333333333329</c:v>
                </c:pt>
                <c:pt idx="3">
                  <c:v>0.46666666666665435</c:v>
                </c:pt>
                <c:pt idx="4">
                  <c:v>0.18333333333335133</c:v>
                </c:pt>
                <c:pt idx="5">
                  <c:v>2.3333333333340533E-2</c:v>
                </c:pt>
                <c:pt idx="6">
                  <c:v>0.82333333333333769</c:v>
                </c:pt>
                <c:pt idx="7">
                  <c:v>1.1466666666666612</c:v>
                </c:pt>
                <c:pt idx="8">
                  <c:v>0.13999999999998636</c:v>
                </c:pt>
                <c:pt idx="9">
                  <c:v>68.036666666666662</c:v>
                </c:pt>
                <c:pt idx="10">
                  <c:v>70.406666666666666</c:v>
                </c:pt>
                <c:pt idx="11">
                  <c:v>0.68000000000000682</c:v>
                </c:pt>
                <c:pt idx="12">
                  <c:v>0.32000000000000739</c:v>
                </c:pt>
                <c:pt idx="13">
                  <c:v>66.163333333333327</c:v>
                </c:pt>
                <c:pt idx="14">
                  <c:v>0.30000000000001137</c:v>
                </c:pt>
                <c:pt idx="15">
                  <c:v>71.743333333333339</c:v>
                </c:pt>
                <c:pt idx="16">
                  <c:v>4.0066666666666606</c:v>
                </c:pt>
                <c:pt idx="17">
                  <c:v>0.94000000000002615</c:v>
                </c:pt>
                <c:pt idx="18">
                  <c:v>1.0499999999999829</c:v>
                </c:pt>
                <c:pt idx="19">
                  <c:v>3.1833333333333371</c:v>
                </c:pt>
                <c:pt idx="20">
                  <c:v>1.839999999999975</c:v>
                </c:pt>
                <c:pt idx="21">
                  <c:v>1.6133333333333297</c:v>
                </c:pt>
                <c:pt idx="22">
                  <c:v>2.3799999999999955</c:v>
                </c:pt>
                <c:pt idx="23">
                  <c:v>3.9833333333333343</c:v>
                </c:pt>
                <c:pt idx="24">
                  <c:v>3.620000000000033</c:v>
                </c:pt>
                <c:pt idx="25">
                  <c:v>71.720000000000013</c:v>
                </c:pt>
                <c:pt idx="26">
                  <c:v>77.84333333333332</c:v>
                </c:pt>
                <c:pt idx="27">
                  <c:v>73.61</c:v>
                </c:pt>
                <c:pt idx="28">
                  <c:v>8.5833333333333286</c:v>
                </c:pt>
                <c:pt idx="29">
                  <c:v>5.1300000000000239</c:v>
                </c:pt>
                <c:pt idx="30">
                  <c:v>78.850000000000009</c:v>
                </c:pt>
                <c:pt idx="31">
                  <c:v>72.486666666666679</c:v>
                </c:pt>
                <c:pt idx="32">
                  <c:v>75.143333333333359</c:v>
                </c:pt>
                <c:pt idx="33">
                  <c:v>0.19666666666668142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0B-4F90-A91A-1BBED3C47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4538413"/>
        <c:axId val="599315446"/>
      </c:barChart>
      <c:catAx>
        <c:axId val="4245384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36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99315446"/>
        <c:crosses val="autoZero"/>
        <c:auto val="1"/>
        <c:lblAlgn val="ctr"/>
        <c:lblOffset val="100"/>
        <c:noMultiLvlLbl val="1"/>
      </c:catAx>
      <c:valAx>
        <c:axId val="599315446"/>
        <c:scaling>
          <c:orientation val="minMax"/>
          <c:max val="100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2453841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Alexnet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'AxCQ qconfig test'!$O$83:$O$116</c:f>
              <c:strCache>
                <c:ptCount val="34"/>
                <c:pt idx="0">
                  <c:v>1 - 5</c:v>
                </c:pt>
                <c:pt idx="1">
                  <c:v>2 - 6</c:v>
                </c:pt>
                <c:pt idx="2">
                  <c:v>3 - 7</c:v>
                </c:pt>
                <c:pt idx="3">
                  <c:v>4 - 8</c:v>
                </c:pt>
                <c:pt idx="4">
                  <c:v>1 - 9</c:v>
                </c:pt>
                <c:pt idx="5">
                  <c:v>2 - 10</c:v>
                </c:pt>
                <c:pt idx="6">
                  <c:v>3 - 11</c:v>
                </c:pt>
                <c:pt idx="7">
                  <c:v>4 - 12</c:v>
                </c:pt>
                <c:pt idx="8">
                  <c:v>5 - 9</c:v>
                </c:pt>
                <c:pt idx="9">
                  <c:v>6 - 10</c:v>
                </c:pt>
                <c:pt idx="10">
                  <c:v>7 - 11</c:v>
                </c:pt>
                <c:pt idx="11">
                  <c:v>8 -12</c:v>
                </c:pt>
                <c:pt idx="12">
                  <c:v>1 - 13</c:v>
                </c:pt>
                <c:pt idx="13">
                  <c:v>2 - 14</c:v>
                </c:pt>
                <c:pt idx="14">
                  <c:v>9 - 15</c:v>
                </c:pt>
                <c:pt idx="15">
                  <c:v>10 - 16</c:v>
                </c:pt>
                <c:pt idx="16">
                  <c:v>11 - 17</c:v>
                </c:pt>
                <c:pt idx="17">
                  <c:v>12 - 18</c:v>
                </c:pt>
                <c:pt idx="18">
                  <c:v>1 - 4</c:v>
                </c:pt>
                <c:pt idx="19">
                  <c:v>2 - 3</c:v>
                </c:pt>
                <c:pt idx="20">
                  <c:v>5 - 8</c:v>
                </c:pt>
                <c:pt idx="21">
                  <c:v>6 - 7</c:v>
                </c:pt>
                <c:pt idx="22">
                  <c:v>9 - 12</c:v>
                </c:pt>
                <c:pt idx="23">
                  <c:v>10 - 11</c:v>
                </c:pt>
                <c:pt idx="24">
                  <c:v>15 - 18</c:v>
                </c:pt>
                <c:pt idx="25">
                  <c:v>16 - 17</c:v>
                </c:pt>
                <c:pt idx="26">
                  <c:v>1 - 3</c:v>
                </c:pt>
                <c:pt idx="27">
                  <c:v>2 - 4</c:v>
                </c:pt>
                <c:pt idx="28">
                  <c:v>5 - 7</c:v>
                </c:pt>
                <c:pt idx="29">
                  <c:v>6 - 8</c:v>
                </c:pt>
                <c:pt idx="30">
                  <c:v>9 - 11</c:v>
                </c:pt>
                <c:pt idx="31">
                  <c:v>10 - 12</c:v>
                </c:pt>
                <c:pt idx="32">
                  <c:v>15- 17</c:v>
                </c:pt>
                <c:pt idx="33">
                  <c:v>16 - 18</c:v>
                </c:pt>
              </c:strCache>
            </c:strRef>
          </c:cat>
          <c:val>
            <c:numRef>
              <c:f>'AxCQ qconfig test'!$R$83:$R$116</c:f>
              <c:numCache>
                <c:formatCode>#,##0.00</c:formatCode>
                <c:ptCount val="34"/>
                <c:pt idx="0">
                  <c:v>6.6666666666748142E-3</c:v>
                </c:pt>
                <c:pt idx="1">
                  <c:v>1.5299999999999727</c:v>
                </c:pt>
                <c:pt idx="2">
                  <c:v>0.4100000000000108</c:v>
                </c:pt>
                <c:pt idx="3">
                  <c:v>0.39333333333333087</c:v>
                </c:pt>
                <c:pt idx="4">
                  <c:v>7.333333333332348E-2</c:v>
                </c:pt>
                <c:pt idx="5">
                  <c:v>0.19333333333331382</c:v>
                </c:pt>
                <c:pt idx="6">
                  <c:v>0.46000000000000796</c:v>
                </c:pt>
                <c:pt idx="7">
                  <c:v>0.78000000000000114</c:v>
                </c:pt>
                <c:pt idx="8">
                  <c:v>7.9999999999998295E-2</c:v>
                </c:pt>
                <c:pt idx="9">
                  <c:v>1.3366666666666589</c:v>
                </c:pt>
                <c:pt idx="10">
                  <c:v>0.87000000000001876</c:v>
                </c:pt>
                <c:pt idx="11">
                  <c:v>1.173333333333332</c:v>
                </c:pt>
                <c:pt idx="12">
                  <c:v>3.9999999999992042E-2</c:v>
                </c:pt>
                <c:pt idx="13">
                  <c:v>20.803333333333349</c:v>
                </c:pt>
                <c:pt idx="14">
                  <c:v>0.9966666666666697</c:v>
                </c:pt>
                <c:pt idx="15">
                  <c:v>28.209999999999994</c:v>
                </c:pt>
                <c:pt idx="16">
                  <c:v>2.8666666666666387</c:v>
                </c:pt>
                <c:pt idx="17">
                  <c:v>0.61666666666668846</c:v>
                </c:pt>
                <c:pt idx="18">
                  <c:v>0.74666666666665549</c:v>
                </c:pt>
                <c:pt idx="19">
                  <c:v>0.75999999999997669</c:v>
                </c:pt>
                <c:pt idx="20">
                  <c:v>1.1466666666666612</c:v>
                </c:pt>
                <c:pt idx="21">
                  <c:v>0.35999999999998522</c:v>
                </c:pt>
                <c:pt idx="22">
                  <c:v>0.10666666666666913</c:v>
                </c:pt>
                <c:pt idx="23">
                  <c:v>0.10666666666665492</c:v>
                </c:pt>
                <c:pt idx="24">
                  <c:v>0.48666666666665037</c:v>
                </c:pt>
                <c:pt idx="25">
                  <c:v>25.45000000000001</c:v>
                </c:pt>
                <c:pt idx="26">
                  <c:v>0.68666666666666742</c:v>
                </c:pt>
                <c:pt idx="27">
                  <c:v>0.69999999999998863</c:v>
                </c:pt>
                <c:pt idx="28">
                  <c:v>0.28333333333333144</c:v>
                </c:pt>
                <c:pt idx="29">
                  <c:v>1.223333333333315</c:v>
                </c:pt>
                <c:pt idx="30">
                  <c:v>1.0733333333333519</c:v>
                </c:pt>
                <c:pt idx="31">
                  <c:v>1.286666666666676</c:v>
                </c:pt>
                <c:pt idx="32">
                  <c:v>2.9433333333333209</c:v>
                </c:pt>
                <c:pt idx="33">
                  <c:v>28.879999999999981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67-4512-B6EE-C31CB3491C22}"/>
            </c:ext>
          </c:extLst>
        </c:ser>
        <c:ser>
          <c:idx val="1"/>
          <c:order val="1"/>
          <c:tx>
            <c:v>VGG-16_BN</c:v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'AxCQ qconfig test'!$O$83:$O$116</c:f>
              <c:strCache>
                <c:ptCount val="34"/>
                <c:pt idx="0">
                  <c:v>1 - 5</c:v>
                </c:pt>
                <c:pt idx="1">
                  <c:v>2 - 6</c:v>
                </c:pt>
                <c:pt idx="2">
                  <c:v>3 - 7</c:v>
                </c:pt>
                <c:pt idx="3">
                  <c:v>4 - 8</c:v>
                </c:pt>
                <c:pt idx="4">
                  <c:v>1 - 9</c:v>
                </c:pt>
                <c:pt idx="5">
                  <c:v>2 - 10</c:v>
                </c:pt>
                <c:pt idx="6">
                  <c:v>3 - 11</c:v>
                </c:pt>
                <c:pt idx="7">
                  <c:v>4 - 12</c:v>
                </c:pt>
                <c:pt idx="8">
                  <c:v>5 - 9</c:v>
                </c:pt>
                <c:pt idx="9">
                  <c:v>6 - 10</c:v>
                </c:pt>
                <c:pt idx="10">
                  <c:v>7 - 11</c:v>
                </c:pt>
                <c:pt idx="11">
                  <c:v>8 -12</c:v>
                </c:pt>
                <c:pt idx="12">
                  <c:v>1 - 13</c:v>
                </c:pt>
                <c:pt idx="13">
                  <c:v>2 - 14</c:v>
                </c:pt>
                <c:pt idx="14">
                  <c:v>9 - 15</c:v>
                </c:pt>
                <c:pt idx="15">
                  <c:v>10 - 16</c:v>
                </c:pt>
                <c:pt idx="16">
                  <c:v>11 - 17</c:v>
                </c:pt>
                <c:pt idx="17">
                  <c:v>12 - 18</c:v>
                </c:pt>
                <c:pt idx="18">
                  <c:v>1 - 4</c:v>
                </c:pt>
                <c:pt idx="19">
                  <c:v>2 - 3</c:v>
                </c:pt>
                <c:pt idx="20">
                  <c:v>5 - 8</c:v>
                </c:pt>
                <c:pt idx="21">
                  <c:v>6 - 7</c:v>
                </c:pt>
                <c:pt idx="22">
                  <c:v>9 - 12</c:v>
                </c:pt>
                <c:pt idx="23">
                  <c:v>10 - 11</c:v>
                </c:pt>
                <c:pt idx="24">
                  <c:v>15 - 18</c:v>
                </c:pt>
                <c:pt idx="25">
                  <c:v>16 - 17</c:v>
                </c:pt>
                <c:pt idx="26">
                  <c:v>1 - 3</c:v>
                </c:pt>
                <c:pt idx="27">
                  <c:v>2 - 4</c:v>
                </c:pt>
                <c:pt idx="28">
                  <c:v>5 - 7</c:v>
                </c:pt>
                <c:pt idx="29">
                  <c:v>6 - 8</c:v>
                </c:pt>
                <c:pt idx="30">
                  <c:v>9 - 11</c:v>
                </c:pt>
                <c:pt idx="31">
                  <c:v>10 - 12</c:v>
                </c:pt>
                <c:pt idx="32">
                  <c:v>15- 17</c:v>
                </c:pt>
                <c:pt idx="33">
                  <c:v>16 - 18</c:v>
                </c:pt>
              </c:strCache>
            </c:strRef>
          </c:cat>
          <c:val>
            <c:numRef>
              <c:f>'AxCQ qconfig test'!$S$83:$S$116</c:f>
              <c:numCache>
                <c:formatCode>#,##0.00</c:formatCode>
                <c:ptCount val="34"/>
                <c:pt idx="0">
                  <c:v>0.96333333333333826</c:v>
                </c:pt>
                <c:pt idx="1">
                  <c:v>9.9999999999965894E-2</c:v>
                </c:pt>
                <c:pt idx="2">
                  <c:v>0.78999999999996362</c:v>
                </c:pt>
                <c:pt idx="3">
                  <c:v>0.21666666666661172</c:v>
                </c:pt>
                <c:pt idx="4">
                  <c:v>6.9999999999993179E-2</c:v>
                </c:pt>
                <c:pt idx="5">
                  <c:v>1.416666666666643</c:v>
                </c:pt>
                <c:pt idx="6">
                  <c:v>0.3366666666666589</c:v>
                </c:pt>
                <c:pt idx="7">
                  <c:v>0.48000000000001819</c:v>
                </c:pt>
                <c:pt idx="8">
                  <c:v>1.0333333333333314</c:v>
                </c:pt>
                <c:pt idx="9">
                  <c:v>1.3166666666666771</c:v>
                </c:pt>
                <c:pt idx="10">
                  <c:v>0.45333333333330472</c:v>
                </c:pt>
                <c:pt idx="11">
                  <c:v>0.69666666666662991</c:v>
                </c:pt>
                <c:pt idx="12">
                  <c:v>2.3333333333312112E-2</c:v>
                </c:pt>
                <c:pt idx="13">
                  <c:v>0.76999999999998892</c:v>
                </c:pt>
                <c:pt idx="14">
                  <c:v>1.999999999998181E-2</c:v>
                </c:pt>
                <c:pt idx="15">
                  <c:v>1.0733333333333483</c:v>
                </c:pt>
                <c:pt idx="16">
                  <c:v>9.2799999999999869</c:v>
                </c:pt>
                <c:pt idx="17">
                  <c:v>0.73333333333334849</c:v>
                </c:pt>
                <c:pt idx="18">
                  <c:v>0.26999999999998181</c:v>
                </c:pt>
                <c:pt idx="19">
                  <c:v>9.6666666666664014E-2</c:v>
                </c:pt>
                <c:pt idx="20">
                  <c:v>0.90999999999996817</c:v>
                </c:pt>
                <c:pt idx="21">
                  <c:v>0.59333333333333371</c:v>
                </c:pt>
                <c:pt idx="22">
                  <c:v>0.81999999999999318</c:v>
                </c:pt>
                <c:pt idx="23">
                  <c:v>1.1766666666666481</c:v>
                </c:pt>
                <c:pt idx="24">
                  <c:v>1.5733333333333235</c:v>
                </c:pt>
                <c:pt idx="25">
                  <c:v>7.0299999999999905</c:v>
                </c:pt>
                <c:pt idx="26">
                  <c:v>5.9999999999973852E-2</c:v>
                </c:pt>
                <c:pt idx="27">
                  <c:v>0.23333333333329165</c:v>
                </c:pt>
                <c:pt idx="28">
                  <c:v>0.23333333333334849</c:v>
                </c:pt>
                <c:pt idx="29">
                  <c:v>8.3333333333285964E-2</c:v>
                </c:pt>
                <c:pt idx="30">
                  <c:v>0.34666666666667822</c:v>
                </c:pt>
                <c:pt idx="31">
                  <c:v>0.70333333333333314</c:v>
                </c:pt>
                <c:pt idx="32">
                  <c:v>9.646666666666647</c:v>
                </c:pt>
                <c:pt idx="33">
                  <c:v>1.043333333333333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67-4512-B6EE-C31CB3491C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1176559"/>
        <c:axId val="326436545"/>
      </c:barChart>
      <c:catAx>
        <c:axId val="3311765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36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26436545"/>
        <c:crosses val="autoZero"/>
        <c:auto val="1"/>
        <c:lblAlgn val="ctr"/>
        <c:lblOffset val="100"/>
        <c:noMultiLvlLbl val="1"/>
      </c:catAx>
      <c:valAx>
        <c:axId val="326436545"/>
        <c:scaling>
          <c:orientation val="minMax"/>
          <c:max val="100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3117655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361950</xdr:colOff>
      <xdr:row>76</xdr:row>
      <xdr:rowOff>95250</xdr:rowOff>
    </xdr:from>
    <xdr:ext cx="4829175" cy="2981325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22</xdr:col>
      <xdr:colOff>361950</xdr:colOff>
      <xdr:row>91</xdr:row>
      <xdr:rowOff>190500</xdr:rowOff>
    </xdr:from>
    <xdr:ext cx="4829175" cy="2981325"/>
    <xdr:graphicFrame macro="">
      <xdr:nvGraphicFramePr>
        <xdr:cNvPr id="5" name="Chart 5" title="Char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0</xdr:colOff>
      <xdr:row>106</xdr:row>
      <xdr:rowOff>114300</xdr:rowOff>
    </xdr:from>
    <xdr:ext cx="7439025" cy="4600575"/>
    <xdr:graphicFrame macro="">
      <xdr:nvGraphicFramePr>
        <xdr:cNvPr id="7" name="Chart 7" title="Chart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1</xdr:colOff>
      <xdr:row>129</xdr:row>
      <xdr:rowOff>114301</xdr:rowOff>
    </xdr:from>
    <xdr:ext cx="7429500" cy="3800474"/>
    <xdr:graphicFrame macro="">
      <xdr:nvGraphicFramePr>
        <xdr:cNvPr id="9" name="Chart 9" title="Chart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L164"/>
  <sheetViews>
    <sheetView tabSelected="1" topLeftCell="Z21" workbookViewId="0">
      <selection activeCell="AW34" sqref="AW34:AW43"/>
    </sheetView>
  </sheetViews>
  <sheetFormatPr defaultColWidth="12.5703125" defaultRowHeight="15.75" customHeight="1"/>
  <cols>
    <col min="1" max="1" width="14" customWidth="1"/>
    <col min="2" max="2" width="16" customWidth="1"/>
    <col min="3" max="4" width="6.42578125" customWidth="1"/>
    <col min="5" max="7" width="10.5703125" customWidth="1"/>
    <col min="8" max="12" width="6.42578125" customWidth="1"/>
    <col min="13" max="14" width="9.42578125" customWidth="1"/>
    <col min="15" max="47" width="6.42578125" customWidth="1"/>
    <col min="49" max="97" width="6.42578125" customWidth="1"/>
  </cols>
  <sheetData>
    <row r="1" spans="1:64" ht="25.5">
      <c r="A1" s="2" t="s">
        <v>0</v>
      </c>
      <c r="B1" s="5" t="s">
        <v>1</v>
      </c>
      <c r="C1" s="6" t="s">
        <v>2</v>
      </c>
      <c r="D1" s="9" t="s">
        <v>3</v>
      </c>
      <c r="E1" s="10" t="s">
        <v>4</v>
      </c>
      <c r="F1" s="11" t="s">
        <v>5</v>
      </c>
      <c r="G1" s="12" t="s">
        <v>6</v>
      </c>
      <c r="H1" s="346" t="s">
        <v>7</v>
      </c>
      <c r="I1" s="330"/>
      <c r="J1" s="330"/>
      <c r="K1" s="330"/>
      <c r="L1" s="330"/>
      <c r="M1" s="330"/>
      <c r="N1" s="330"/>
      <c r="O1" s="331"/>
      <c r="P1" s="15" t="s">
        <v>8</v>
      </c>
      <c r="Q1" s="347" t="s">
        <v>9</v>
      </c>
      <c r="R1" s="330"/>
      <c r="S1" s="330"/>
      <c r="T1" s="330"/>
      <c r="U1" s="330"/>
      <c r="V1" s="330"/>
      <c r="W1" s="330"/>
      <c r="X1" s="331"/>
      <c r="Y1" s="22" t="s">
        <v>8</v>
      </c>
      <c r="Z1" s="348" t="s">
        <v>10</v>
      </c>
      <c r="AA1" s="330"/>
      <c r="AB1" s="330"/>
      <c r="AC1" s="330"/>
      <c r="AD1" s="330"/>
      <c r="AE1" s="330"/>
      <c r="AF1" s="330"/>
      <c r="AG1" s="331"/>
      <c r="AH1" s="23" t="s">
        <v>8</v>
      </c>
      <c r="AI1" s="349" t="s">
        <v>11</v>
      </c>
      <c r="AJ1" s="330"/>
      <c r="AK1" s="330"/>
      <c r="AL1" s="330"/>
      <c r="AM1" s="330"/>
      <c r="AN1" s="330"/>
      <c r="AO1" s="330"/>
      <c r="AP1" s="331"/>
      <c r="AQ1" s="26" t="s">
        <v>8</v>
      </c>
      <c r="AR1" s="28" t="s">
        <v>12</v>
      </c>
      <c r="AS1" s="28" t="s">
        <v>13</v>
      </c>
      <c r="AT1" s="28" t="s">
        <v>14</v>
      </c>
      <c r="AU1" s="29" t="s">
        <v>13</v>
      </c>
    </row>
    <row r="2" spans="1:64" ht="15.75" customHeight="1">
      <c r="A2" s="350"/>
      <c r="B2" s="351"/>
      <c r="C2" s="352"/>
      <c r="D2" s="324"/>
      <c r="E2" s="326"/>
      <c r="F2" s="327"/>
      <c r="G2" s="328"/>
      <c r="H2" s="329" t="s">
        <v>15</v>
      </c>
      <c r="I2" s="330"/>
      <c r="J2" s="330"/>
      <c r="K2" s="331"/>
      <c r="L2" s="332"/>
      <c r="M2" s="333"/>
      <c r="N2" s="333"/>
      <c r="O2" s="334"/>
      <c r="P2" s="337"/>
      <c r="Q2" s="329" t="s">
        <v>15</v>
      </c>
      <c r="R2" s="330"/>
      <c r="S2" s="330"/>
      <c r="T2" s="331"/>
      <c r="U2" s="332"/>
      <c r="V2" s="333"/>
      <c r="W2" s="333"/>
      <c r="X2" s="334"/>
      <c r="Y2" s="337"/>
      <c r="Z2" s="329" t="s">
        <v>15</v>
      </c>
      <c r="AA2" s="330"/>
      <c r="AB2" s="330"/>
      <c r="AC2" s="331"/>
      <c r="AD2" s="332"/>
      <c r="AE2" s="333"/>
      <c r="AF2" s="333"/>
      <c r="AG2" s="334"/>
      <c r="AH2" s="337"/>
      <c r="AI2" s="329" t="s">
        <v>15</v>
      </c>
      <c r="AJ2" s="330"/>
      <c r="AK2" s="330"/>
      <c r="AL2" s="331"/>
      <c r="AM2" s="332"/>
      <c r="AN2" s="333"/>
      <c r="AO2" s="333"/>
      <c r="AP2" s="334"/>
      <c r="AQ2" s="338"/>
      <c r="AR2" s="340"/>
      <c r="AS2" s="340"/>
      <c r="AT2" s="340"/>
      <c r="AU2" s="340"/>
    </row>
    <row r="3" spans="1:64" ht="15.75" customHeight="1">
      <c r="A3" s="325"/>
      <c r="B3" s="325"/>
      <c r="C3" s="325"/>
      <c r="D3" s="325"/>
      <c r="E3" s="325"/>
      <c r="F3" s="325"/>
      <c r="G3" s="325"/>
      <c r="H3" s="31" t="s">
        <v>16</v>
      </c>
      <c r="I3" s="31" t="s">
        <v>13</v>
      </c>
      <c r="J3" s="31" t="s">
        <v>17</v>
      </c>
      <c r="K3" s="32" t="s">
        <v>13</v>
      </c>
      <c r="L3" s="335"/>
      <c r="M3" s="335"/>
      <c r="N3" s="335"/>
      <c r="O3" s="336"/>
      <c r="P3" s="325"/>
      <c r="Q3" s="31" t="s">
        <v>16</v>
      </c>
      <c r="R3" s="31" t="s">
        <v>13</v>
      </c>
      <c r="S3" s="31" t="s">
        <v>17</v>
      </c>
      <c r="T3" s="32" t="s">
        <v>13</v>
      </c>
      <c r="U3" s="335"/>
      <c r="V3" s="335"/>
      <c r="W3" s="335"/>
      <c r="X3" s="336"/>
      <c r="Y3" s="325"/>
      <c r="Z3" s="31" t="s">
        <v>16</v>
      </c>
      <c r="AA3" s="31" t="s">
        <v>13</v>
      </c>
      <c r="AB3" s="31" t="s">
        <v>17</v>
      </c>
      <c r="AC3" s="32" t="s">
        <v>13</v>
      </c>
      <c r="AD3" s="335"/>
      <c r="AE3" s="335"/>
      <c r="AF3" s="335"/>
      <c r="AG3" s="336"/>
      <c r="AH3" s="325"/>
      <c r="AI3" s="31" t="s">
        <v>16</v>
      </c>
      <c r="AJ3" s="31" t="s">
        <v>13</v>
      </c>
      <c r="AK3" s="31" t="s">
        <v>17</v>
      </c>
      <c r="AL3" s="32" t="s">
        <v>13</v>
      </c>
      <c r="AM3" s="335"/>
      <c r="AN3" s="335"/>
      <c r="AO3" s="335"/>
      <c r="AP3" s="336"/>
      <c r="AQ3" s="339"/>
      <c r="AR3" s="325"/>
      <c r="AS3" s="325"/>
      <c r="AT3" s="325"/>
      <c r="AU3" s="325"/>
    </row>
    <row r="4" spans="1:64" ht="15.75" customHeight="1">
      <c r="A4" s="33" t="s">
        <v>18</v>
      </c>
      <c r="B4" s="34">
        <v>23820</v>
      </c>
      <c r="C4" s="35">
        <v>100</v>
      </c>
      <c r="D4" s="357" t="s">
        <v>19</v>
      </c>
      <c r="E4" s="10" t="s">
        <v>20</v>
      </c>
      <c r="F4" s="358" t="s">
        <v>21</v>
      </c>
      <c r="G4" s="12" t="s">
        <v>22</v>
      </c>
      <c r="H4" s="36">
        <f>B163</f>
        <v>93.727999999999994</v>
      </c>
      <c r="I4" s="36">
        <f>B164</f>
        <v>0.25645662401271607</v>
      </c>
      <c r="J4" s="36">
        <f>C163</f>
        <v>99.695999999999998</v>
      </c>
      <c r="K4" s="36">
        <f>C164</f>
        <v>2.880972058177704E-2</v>
      </c>
      <c r="L4" s="341"/>
      <c r="M4" s="342"/>
      <c r="N4" s="342"/>
      <c r="O4" s="343"/>
      <c r="P4" s="36">
        <f t="shared" ref="P4:P5" si="0">H4</f>
        <v>93.727999999999994</v>
      </c>
      <c r="Q4" s="37">
        <f>F163</f>
        <v>93.692000000000007</v>
      </c>
      <c r="R4" s="37">
        <f>F164</f>
        <v>0.25791471458604137</v>
      </c>
      <c r="S4" s="37">
        <f>G163</f>
        <v>99.668000000000006</v>
      </c>
      <c r="T4" s="37">
        <f>G164</f>
        <v>2.3874672772627253E-2</v>
      </c>
      <c r="U4" s="341"/>
      <c r="V4" s="342"/>
      <c r="W4" s="342"/>
      <c r="X4" s="343"/>
      <c r="Y4" s="37">
        <f t="shared" ref="Y4:Y5" si="1">Q4</f>
        <v>93.692000000000007</v>
      </c>
      <c r="Z4" s="38">
        <f>N163</f>
        <v>93.126000000000005</v>
      </c>
      <c r="AA4" s="38">
        <f>O164</f>
        <v>2.4083189157585994E-2</v>
      </c>
      <c r="AB4" s="38">
        <f>O163</f>
        <v>99.646000000000001</v>
      </c>
      <c r="AC4" s="38">
        <f>O164</f>
        <v>2.4083189157585994E-2</v>
      </c>
      <c r="AD4" s="341"/>
      <c r="AE4" s="342"/>
      <c r="AF4" s="342"/>
      <c r="AG4" s="343"/>
      <c r="AH4" s="38">
        <f t="shared" ref="AH4:AH5" si="2">Z4</f>
        <v>93.126000000000005</v>
      </c>
      <c r="AI4" s="39">
        <f>V163</f>
        <v>91.378000000000014</v>
      </c>
      <c r="AJ4" s="39">
        <f>W164</f>
        <v>6.9785385289471161E-2</v>
      </c>
      <c r="AK4" s="39">
        <f>W163</f>
        <v>99.417999999999992</v>
      </c>
      <c r="AL4" s="39">
        <f>W164</f>
        <v>6.9785385289471161E-2</v>
      </c>
      <c r="AM4" s="344"/>
      <c r="AN4" s="342"/>
      <c r="AO4" s="342"/>
      <c r="AP4" s="343"/>
      <c r="AQ4" s="39">
        <f t="shared" ref="AQ4:AQ5" si="3">AI4</f>
        <v>91.378000000000014</v>
      </c>
      <c r="AR4" s="40">
        <f t="shared" ref="AR4:AR5" si="4">P4-MAX(AQ4,AH4)</f>
        <v>0.60199999999998965</v>
      </c>
      <c r="AS4" s="40">
        <v>0</v>
      </c>
      <c r="AT4" s="40">
        <f t="shared" ref="AT4:AT5" si="5">Y4-MAX(AQ4,AH4)</f>
        <v>0.5660000000000025</v>
      </c>
      <c r="AU4" s="41">
        <v>0</v>
      </c>
    </row>
    <row r="5" spans="1:64" ht="15.75" customHeight="1">
      <c r="A5" s="42" t="s">
        <v>23</v>
      </c>
      <c r="B5" s="43">
        <v>21750</v>
      </c>
      <c r="C5" s="44">
        <v>100</v>
      </c>
      <c r="D5" s="325"/>
      <c r="E5" s="45" t="s">
        <v>24</v>
      </c>
      <c r="F5" s="325"/>
      <c r="G5" s="46" t="s">
        <v>22</v>
      </c>
      <c r="H5" s="14">
        <f>B156</f>
        <v>96.99799999999999</v>
      </c>
      <c r="I5" s="14">
        <f>B157</f>
        <v>0.10986355173577582</v>
      </c>
      <c r="J5" s="14">
        <f>C156</f>
        <v>99.963999999999984</v>
      </c>
      <c r="K5" s="14">
        <f>C157</f>
        <v>1.1401754250992852E-2</v>
      </c>
      <c r="L5" s="359"/>
      <c r="M5" s="335"/>
      <c r="N5" s="335"/>
      <c r="O5" s="336"/>
      <c r="P5" s="36">
        <f t="shared" si="0"/>
        <v>96.99799999999999</v>
      </c>
      <c r="Q5" s="16">
        <f>F156</f>
        <v>96.929999999999993</v>
      </c>
      <c r="R5" s="16">
        <f>F157</f>
        <v>0.10700467279516378</v>
      </c>
      <c r="S5" s="16">
        <f>O156</f>
        <v>99.957999999999998</v>
      </c>
      <c r="T5" s="16">
        <f>O157</f>
        <v>1.3038404810404884E-2</v>
      </c>
      <c r="U5" s="359"/>
      <c r="V5" s="335"/>
      <c r="W5" s="335"/>
      <c r="X5" s="336"/>
      <c r="Y5" s="37">
        <f t="shared" si="1"/>
        <v>96.929999999999993</v>
      </c>
      <c r="Z5" s="47">
        <f>N156</f>
        <v>96.88</v>
      </c>
      <c r="AA5" s="47">
        <f>N157</f>
        <v>9.6695398029067348E-2</v>
      </c>
      <c r="AB5" s="47">
        <f>O156</f>
        <v>99.957999999999998</v>
      </c>
      <c r="AC5" s="47">
        <f>O157</f>
        <v>1.3038404810404884E-2</v>
      </c>
      <c r="AD5" s="341"/>
      <c r="AE5" s="342"/>
      <c r="AF5" s="342"/>
      <c r="AG5" s="343"/>
      <c r="AH5" s="38">
        <f t="shared" si="2"/>
        <v>96.88</v>
      </c>
      <c r="AI5" s="48">
        <f>V156</f>
        <v>96.94</v>
      </c>
      <c r="AJ5" s="48">
        <f>V157</f>
        <v>0.14456832294801109</v>
      </c>
      <c r="AK5" s="48">
        <f>W156</f>
        <v>99.961999999999989</v>
      </c>
      <c r="AL5" s="48">
        <f>W157</f>
        <v>1.0954451150105035E-2</v>
      </c>
      <c r="AM5" s="345"/>
      <c r="AN5" s="342"/>
      <c r="AO5" s="342"/>
      <c r="AP5" s="343"/>
      <c r="AQ5" s="39">
        <f t="shared" si="3"/>
        <v>96.94</v>
      </c>
      <c r="AR5" s="49">
        <f t="shared" si="4"/>
        <v>5.7999999999992724E-2</v>
      </c>
      <c r="AS5" s="49">
        <v>0</v>
      </c>
      <c r="AT5" s="49">
        <f t="shared" si="5"/>
        <v>-1.0000000000005116E-2</v>
      </c>
      <c r="AU5" s="41">
        <v>0</v>
      </c>
    </row>
    <row r="6" spans="1:64" ht="15.75" customHeight="1">
      <c r="A6" s="350"/>
      <c r="B6" s="351"/>
      <c r="C6" s="352"/>
      <c r="D6" s="324"/>
      <c r="E6" s="326"/>
      <c r="F6" s="327"/>
      <c r="G6" s="328"/>
      <c r="H6" s="329" t="s">
        <v>25</v>
      </c>
      <c r="I6" s="330"/>
      <c r="J6" s="330"/>
      <c r="K6" s="331"/>
      <c r="L6" s="353" t="s">
        <v>26</v>
      </c>
      <c r="M6" s="330"/>
      <c r="N6" s="330"/>
      <c r="O6" s="331"/>
      <c r="P6" s="337"/>
      <c r="Q6" s="329" t="s">
        <v>25</v>
      </c>
      <c r="R6" s="330"/>
      <c r="S6" s="330"/>
      <c r="T6" s="331"/>
      <c r="U6" s="353" t="s">
        <v>26</v>
      </c>
      <c r="V6" s="330"/>
      <c r="W6" s="330"/>
      <c r="X6" s="331"/>
      <c r="Y6" s="337"/>
      <c r="Z6" s="329" t="s">
        <v>25</v>
      </c>
      <c r="AA6" s="330"/>
      <c r="AB6" s="330"/>
      <c r="AC6" s="331"/>
      <c r="AD6" s="353" t="s">
        <v>26</v>
      </c>
      <c r="AE6" s="330"/>
      <c r="AF6" s="330"/>
      <c r="AG6" s="331"/>
      <c r="AH6" s="337"/>
      <c r="AI6" s="329" t="s">
        <v>25</v>
      </c>
      <c r="AJ6" s="330"/>
      <c r="AK6" s="330"/>
      <c r="AL6" s="331"/>
      <c r="AM6" s="353" t="s">
        <v>26</v>
      </c>
      <c r="AN6" s="330"/>
      <c r="AO6" s="330"/>
      <c r="AP6" s="331"/>
      <c r="AQ6" s="338"/>
      <c r="AR6" s="340"/>
      <c r="AS6" s="340"/>
      <c r="AT6" s="340"/>
      <c r="AU6" s="340"/>
    </row>
    <row r="7" spans="1:64" ht="15.75" customHeight="1">
      <c r="A7" s="325"/>
      <c r="B7" s="325"/>
      <c r="C7" s="325"/>
      <c r="D7" s="325"/>
      <c r="E7" s="325"/>
      <c r="F7" s="325"/>
      <c r="G7" s="325"/>
      <c r="H7" s="50" t="s">
        <v>16</v>
      </c>
      <c r="I7" s="31" t="s">
        <v>13</v>
      </c>
      <c r="J7" s="50" t="s">
        <v>17</v>
      </c>
      <c r="K7" s="31" t="s">
        <v>13</v>
      </c>
      <c r="L7" s="50" t="s">
        <v>16</v>
      </c>
      <c r="M7" s="31" t="s">
        <v>13</v>
      </c>
      <c r="N7" s="50" t="s">
        <v>17</v>
      </c>
      <c r="O7" s="31" t="s">
        <v>13</v>
      </c>
      <c r="P7" s="325"/>
      <c r="Q7" s="50" t="s">
        <v>16</v>
      </c>
      <c r="R7" s="31" t="s">
        <v>13</v>
      </c>
      <c r="S7" s="50" t="s">
        <v>17</v>
      </c>
      <c r="T7" s="31" t="s">
        <v>13</v>
      </c>
      <c r="U7" s="50" t="s">
        <v>16</v>
      </c>
      <c r="V7" s="31" t="s">
        <v>13</v>
      </c>
      <c r="W7" s="50" t="s">
        <v>17</v>
      </c>
      <c r="X7" s="31" t="s">
        <v>13</v>
      </c>
      <c r="Y7" s="325"/>
      <c r="Z7" s="50" t="s">
        <v>16</v>
      </c>
      <c r="AA7" s="31" t="s">
        <v>13</v>
      </c>
      <c r="AB7" s="50" t="s">
        <v>17</v>
      </c>
      <c r="AC7" s="31" t="s">
        <v>13</v>
      </c>
      <c r="AD7" s="50" t="s">
        <v>16</v>
      </c>
      <c r="AE7" s="31" t="s">
        <v>13</v>
      </c>
      <c r="AF7" s="50" t="s">
        <v>17</v>
      </c>
      <c r="AG7" s="31" t="s">
        <v>13</v>
      </c>
      <c r="AH7" s="325"/>
      <c r="AI7" s="50" t="s">
        <v>16</v>
      </c>
      <c r="AJ7" s="31" t="s">
        <v>13</v>
      </c>
      <c r="AK7" s="50" t="s">
        <v>17</v>
      </c>
      <c r="AL7" s="31" t="s">
        <v>13</v>
      </c>
      <c r="AM7" s="50" t="s">
        <v>16</v>
      </c>
      <c r="AN7" s="31" t="s">
        <v>13</v>
      </c>
      <c r="AO7" s="50" t="s">
        <v>17</v>
      </c>
      <c r="AP7" s="31" t="s">
        <v>13</v>
      </c>
      <c r="AQ7" s="339"/>
      <c r="AR7" s="325"/>
      <c r="AS7" s="325"/>
      <c r="AT7" s="325"/>
      <c r="AU7" s="325"/>
      <c r="AW7" s="354" t="s">
        <v>29</v>
      </c>
      <c r="AX7" s="355"/>
      <c r="AY7" s="355"/>
      <c r="AZ7" s="355"/>
      <c r="BA7" s="355"/>
      <c r="BB7" s="355"/>
      <c r="BC7" s="355"/>
      <c r="BD7" s="355"/>
      <c r="BE7" s="355"/>
      <c r="BF7" s="355"/>
      <c r="BG7" s="355"/>
      <c r="BH7" s="355"/>
      <c r="BI7" s="355"/>
      <c r="BJ7" s="355"/>
      <c r="BK7" s="355"/>
      <c r="BL7" s="356"/>
    </row>
    <row r="8" spans="1:64" ht="15.75" customHeight="1">
      <c r="A8" s="33" t="s">
        <v>27</v>
      </c>
      <c r="B8" s="34">
        <v>61090496</v>
      </c>
      <c r="C8" s="35">
        <v>100</v>
      </c>
      <c r="D8" s="357" t="s">
        <v>19</v>
      </c>
      <c r="E8" s="360" t="s">
        <v>24</v>
      </c>
      <c r="F8" s="358" t="s">
        <v>21</v>
      </c>
      <c r="G8" s="12" t="s">
        <v>33</v>
      </c>
      <c r="H8" s="36">
        <f>B77</f>
        <v>89.940000000000012</v>
      </c>
      <c r="I8" s="36">
        <f>B78</f>
        <v>0.64097581857664221</v>
      </c>
      <c r="J8" s="36">
        <f>C77</f>
        <v>99.745999999999995</v>
      </c>
      <c r="K8" s="36">
        <f>C78</f>
        <v>6.0663003552409701E-2</v>
      </c>
      <c r="L8" s="36">
        <f>D77</f>
        <v>56.56</v>
      </c>
      <c r="M8" s="36">
        <f>D78</f>
        <v>0</v>
      </c>
      <c r="N8" s="36">
        <f>E77</f>
        <v>79.09</v>
      </c>
      <c r="O8" s="36">
        <f>E78</f>
        <v>0</v>
      </c>
      <c r="P8" s="36">
        <f t="shared" ref="P8:P17" si="6">AVERAGE(H8,L8)</f>
        <v>73.25</v>
      </c>
      <c r="Q8" s="37">
        <f>J77</f>
        <v>91.061999999999983</v>
      </c>
      <c r="R8" s="37">
        <f>J78</f>
        <v>0.28630403420140732</v>
      </c>
      <c r="S8" s="37">
        <f>K77</f>
        <v>99.775999999999996</v>
      </c>
      <c r="T8" s="37">
        <f>K78</f>
        <v>3.5777087639998061E-2</v>
      </c>
      <c r="U8" s="37">
        <f>H77</f>
        <v>54.856000000000009</v>
      </c>
      <c r="V8" s="37">
        <f>H78</f>
        <v>0.23340951137432184</v>
      </c>
      <c r="W8" s="37">
        <f>I77</f>
        <v>77.825999999999993</v>
      </c>
      <c r="X8" s="37">
        <f>I78</f>
        <v>0.23265854809140282</v>
      </c>
      <c r="Y8" s="37">
        <f t="shared" ref="Y8:Y17" si="7">AVERAGE(Q8,U8)</f>
        <v>72.959000000000003</v>
      </c>
      <c r="Z8" s="51">
        <f>R77</f>
        <v>90.385999999999996</v>
      </c>
      <c r="AA8" s="51">
        <f>R78</f>
        <v>0.35774292445833161</v>
      </c>
      <c r="AB8" s="38">
        <f>S77</f>
        <v>99.74199999999999</v>
      </c>
      <c r="AC8" s="38">
        <f>S78</f>
        <v>5.0695167422546726E-2</v>
      </c>
      <c r="AD8" s="38">
        <f>P77</f>
        <v>52.605999999999995</v>
      </c>
      <c r="AE8" s="38">
        <f>P78</f>
        <v>0.14328293687665594</v>
      </c>
      <c r="AF8" s="38">
        <f>Q77</f>
        <v>76.135999999999996</v>
      </c>
      <c r="AG8" s="38">
        <f>Q78</f>
        <v>0.13107249902248577</v>
      </c>
      <c r="AH8" s="52">
        <f t="shared" ref="AH8:AH17" si="8">AVERAGE(Z8,AD8)</f>
        <v>71.495999999999995</v>
      </c>
      <c r="AI8" s="53">
        <f>V77</f>
        <v>89.830000000000013</v>
      </c>
      <c r="AJ8" s="53">
        <f>V78</f>
        <v>0.99972496217709894</v>
      </c>
      <c r="AK8" s="39">
        <f>W77</f>
        <v>99.768000000000001</v>
      </c>
      <c r="AL8" s="39">
        <f>W78</f>
        <v>4.969909455915511E-2</v>
      </c>
      <c r="AM8" s="39">
        <f>X77</f>
        <v>49.052</v>
      </c>
      <c r="AN8" s="39">
        <f>X78</f>
        <v>0.26051871333936927</v>
      </c>
      <c r="AO8" s="39">
        <f>Y77</f>
        <v>74.001999999999995</v>
      </c>
      <c r="AP8" s="39">
        <f>Y78</f>
        <v>0.23026072179162824</v>
      </c>
      <c r="AQ8" s="53">
        <f t="shared" ref="AQ8:AQ17" si="9">AVERAGE(AI8,AM8)</f>
        <v>69.441000000000003</v>
      </c>
      <c r="AR8" s="40">
        <f t="shared" ref="AR8:AR17" si="10">P8-MAX(AQ8,AH8)</f>
        <v>1.7540000000000049</v>
      </c>
      <c r="AS8" s="40">
        <f t="shared" ref="AS8:AS17" si="11">STDEV(AW8:AX8)</f>
        <v>3.1112698372208034</v>
      </c>
      <c r="AT8" s="40">
        <f t="shared" ref="AT8:AT17" si="12">Y8-MAX(AQ8,AH8)</f>
        <v>1.4630000000000081</v>
      </c>
      <c r="AU8" s="41">
        <f t="shared" ref="AU8:AU17" si="13">STDEV(AY8:AZ8)</f>
        <v>1.1129860735876445</v>
      </c>
      <c r="AW8" s="54">
        <f t="shared" ref="AW8:AW17" si="14">H8-MAX(Z8,AI8)</f>
        <v>-0.44599999999998374</v>
      </c>
      <c r="AX8" s="55">
        <f t="shared" ref="AX8:AX17" si="15">L8-MAX(AD8,AM8)</f>
        <v>3.9540000000000077</v>
      </c>
      <c r="AY8" s="56">
        <f t="shared" ref="AY8:AY17" si="16">Q8-MAX(Z8,AI8)</f>
        <v>0.67599999999998772</v>
      </c>
      <c r="AZ8" s="56">
        <f t="shared" ref="AZ8:AZ17" si="17">U8-MAX(AD8,AM8)</f>
        <v>2.2500000000000142</v>
      </c>
      <c r="BL8" s="57"/>
    </row>
    <row r="9" spans="1:64" ht="15.75" customHeight="1">
      <c r="A9" s="58" t="s">
        <v>28</v>
      </c>
      <c r="B9" s="43">
        <v>28680000</v>
      </c>
      <c r="C9" s="44">
        <v>99.23</v>
      </c>
      <c r="D9" s="361"/>
      <c r="E9" s="361"/>
      <c r="F9" s="361"/>
      <c r="G9" s="46" t="s">
        <v>58</v>
      </c>
      <c r="H9" s="3">
        <f>B84</f>
        <v>96.787999999999997</v>
      </c>
      <c r="I9" s="3">
        <f>B85</f>
        <v>0.349528253507491</v>
      </c>
      <c r="J9" s="3">
        <f>C84</f>
        <v>99.974000000000004</v>
      </c>
      <c r="K9" s="3">
        <f>C85</f>
        <v>1.3416407865001366E-2</v>
      </c>
      <c r="L9" s="3">
        <f>D84</f>
        <v>77.11</v>
      </c>
      <c r="M9" s="3">
        <f>D85</f>
        <v>0</v>
      </c>
      <c r="N9" s="3">
        <f>E84</f>
        <v>93.56</v>
      </c>
      <c r="O9" s="3">
        <f>E85</f>
        <v>0</v>
      </c>
      <c r="P9" s="36">
        <f t="shared" si="6"/>
        <v>86.948999999999998</v>
      </c>
      <c r="Q9" s="4">
        <f>J84</f>
        <v>97</v>
      </c>
      <c r="R9" s="4">
        <f>J85</f>
        <v>5.9581876439065595E-2</v>
      </c>
      <c r="S9" s="4">
        <f>K84</f>
        <v>99.957999999999998</v>
      </c>
      <c r="T9" s="4">
        <f>K85</f>
        <v>2.3874672772623087E-2</v>
      </c>
      <c r="U9" s="4">
        <f>L84</f>
        <v>71.970399999999998</v>
      </c>
      <c r="V9" s="4">
        <f>L85</f>
        <v>0.7168017857120601</v>
      </c>
      <c r="W9" s="4">
        <f>M84</f>
        <v>90.79679999999999</v>
      </c>
      <c r="X9" s="4">
        <f>M85</f>
        <v>0.44837618134778007</v>
      </c>
      <c r="Y9" s="37">
        <f t="shared" si="7"/>
        <v>84.485199999999992</v>
      </c>
      <c r="Z9" s="7">
        <f>R84</f>
        <v>96.454000000000008</v>
      </c>
      <c r="AA9" s="7">
        <f>R85</f>
        <v>0.11058933040759258</v>
      </c>
      <c r="AB9" s="7">
        <f>S84</f>
        <v>99.931999999999988</v>
      </c>
      <c r="AC9" s="7">
        <f>S85</f>
        <v>1.9235384061669365E-2</v>
      </c>
      <c r="AD9" s="7">
        <f>T84</f>
        <v>68.671500000000009</v>
      </c>
      <c r="AE9" s="7">
        <f>T85</f>
        <v>0.21554504556279161</v>
      </c>
      <c r="AF9" s="7">
        <f>U84</f>
        <v>88.72999999999999</v>
      </c>
      <c r="AG9" s="7">
        <f>U85</f>
        <v>0.28907438489080828</v>
      </c>
      <c r="AH9" s="52">
        <f t="shared" si="8"/>
        <v>82.562750000000008</v>
      </c>
      <c r="AI9" s="8">
        <f>V84</f>
        <v>96.793999999999997</v>
      </c>
      <c r="AJ9" s="8">
        <f>V85</f>
        <v>0.1446720429108547</v>
      </c>
      <c r="AK9" s="8">
        <f>W84</f>
        <v>99.957999999999998</v>
      </c>
      <c r="AL9" s="8">
        <f>W85</f>
        <v>1.0954451150101144E-2</v>
      </c>
      <c r="AM9" s="8">
        <f>X84</f>
        <v>72.512000000000015</v>
      </c>
      <c r="AN9" s="8">
        <f>X85</f>
        <v>0.96432359713946525</v>
      </c>
      <c r="AO9" s="8">
        <f>Y84</f>
        <v>91.163999999999987</v>
      </c>
      <c r="AP9" s="8">
        <f>Y85</f>
        <v>0.53411609224961465</v>
      </c>
      <c r="AQ9" s="53">
        <f t="shared" si="9"/>
        <v>84.653000000000006</v>
      </c>
      <c r="AR9" s="41">
        <f t="shared" si="10"/>
        <v>2.2959999999999923</v>
      </c>
      <c r="AS9" s="40">
        <f t="shared" si="11"/>
        <v>3.2555196205828545</v>
      </c>
      <c r="AT9" s="41">
        <f t="shared" si="12"/>
        <v>-0.16780000000001394</v>
      </c>
      <c r="AU9" s="41">
        <f t="shared" si="13"/>
        <v>0.52863302961507685</v>
      </c>
      <c r="AW9" s="54">
        <f t="shared" si="14"/>
        <v>-6.0000000000002274E-3</v>
      </c>
      <c r="AX9" s="55">
        <f t="shared" si="15"/>
        <v>4.5979999999999848</v>
      </c>
      <c r="AY9" s="56">
        <f t="shared" si="16"/>
        <v>0.20600000000000307</v>
      </c>
      <c r="AZ9" s="56">
        <f t="shared" si="17"/>
        <v>-0.54160000000001673</v>
      </c>
      <c r="BL9" s="57"/>
    </row>
    <row r="10" spans="1:64" ht="15.75" customHeight="1">
      <c r="A10" s="66" t="s">
        <v>30</v>
      </c>
      <c r="B10" s="34">
        <v>6623904</v>
      </c>
      <c r="C10" s="35">
        <v>99.78</v>
      </c>
      <c r="D10" s="361"/>
      <c r="E10" s="361"/>
      <c r="F10" s="361"/>
      <c r="G10" s="12" t="s">
        <v>71</v>
      </c>
      <c r="H10" s="69">
        <f>B91</f>
        <v>94.595999999999975</v>
      </c>
      <c r="I10" s="69">
        <f>B92</f>
        <v>0.19165072397461486</v>
      </c>
      <c r="J10" s="69">
        <f>C91</f>
        <v>99.9</v>
      </c>
      <c r="K10" s="69">
        <f>C92</f>
        <v>3.7416573867734816E-2</v>
      </c>
      <c r="L10" s="69">
        <f>D91</f>
        <v>69.780799999999999</v>
      </c>
      <c r="M10" s="69">
        <f>D92</f>
        <v>1.788854382002018E-3</v>
      </c>
      <c r="N10" s="69">
        <f>E91</f>
        <v>89.5304</v>
      </c>
      <c r="O10" s="69">
        <f>E92</f>
        <v>8.9442719099783131E-4</v>
      </c>
      <c r="P10" s="36">
        <f t="shared" si="6"/>
        <v>82.188399999999987</v>
      </c>
      <c r="Q10" s="73">
        <f>J91</f>
        <v>94.031999999999996</v>
      </c>
      <c r="R10" s="73">
        <f>J92</f>
        <v>0.21753160689886059</v>
      </c>
      <c r="S10" s="73">
        <f>K91</f>
        <v>99.872</v>
      </c>
      <c r="T10" s="73">
        <f>K92</f>
        <v>3.1144823004798716E-2</v>
      </c>
      <c r="U10" s="73">
        <f>H91</f>
        <v>65.293999999999997</v>
      </c>
      <c r="V10" s="73">
        <f>H92</f>
        <v>0.33923443221465621</v>
      </c>
      <c r="W10" s="73">
        <f>I91</f>
        <v>86.558000000000007</v>
      </c>
      <c r="X10" s="73">
        <f>I92</f>
        <v>0.32283122525554786</v>
      </c>
      <c r="Y10" s="37">
        <f t="shared" si="7"/>
        <v>79.662999999999997</v>
      </c>
      <c r="Z10" s="76">
        <f>R91</f>
        <v>88.185999999999993</v>
      </c>
      <c r="AA10" s="76">
        <f>R92</f>
        <v>0.986169356652291</v>
      </c>
      <c r="AB10" s="76">
        <f>S91</f>
        <v>99.506</v>
      </c>
      <c r="AC10" s="76">
        <f>S92</f>
        <v>6.6932802122726634E-2</v>
      </c>
      <c r="AD10" s="76">
        <f>T91</f>
        <v>59.122399999999992</v>
      </c>
      <c r="AE10" s="76">
        <f>T92</f>
        <v>1.6414471663748427</v>
      </c>
      <c r="AF10" s="76">
        <f>U91</f>
        <v>82.305999999999997</v>
      </c>
      <c r="AG10" s="76">
        <f>U92</f>
        <v>1.3079105473999406</v>
      </c>
      <c r="AH10" s="52">
        <f t="shared" si="8"/>
        <v>73.654199999999989</v>
      </c>
      <c r="AI10" s="80">
        <f>V91</f>
        <v>93.488</v>
      </c>
      <c r="AJ10" s="80">
        <f>V92</f>
        <v>0.33536547228359781</v>
      </c>
      <c r="AK10" s="80">
        <f>W91</f>
        <v>99.888000000000005</v>
      </c>
      <c r="AL10" s="80">
        <f>W92</f>
        <v>2.4899799195978504E-2</v>
      </c>
      <c r="AM10" s="80">
        <f>X91</f>
        <v>66.495199999999997</v>
      </c>
      <c r="AN10" s="80">
        <f>X92</f>
        <v>0.70793728535795886</v>
      </c>
      <c r="AO10" s="80">
        <f>Y91</f>
        <v>87.711199999999991</v>
      </c>
      <c r="AP10" s="80">
        <f>Y92</f>
        <v>0.49779232617629138</v>
      </c>
      <c r="AQ10" s="53">
        <f t="shared" si="9"/>
        <v>79.991600000000005</v>
      </c>
      <c r="AR10" s="41">
        <f t="shared" si="10"/>
        <v>2.1967999999999819</v>
      </c>
      <c r="AS10" s="40">
        <f t="shared" si="11"/>
        <v>1.5397957267118443</v>
      </c>
      <c r="AT10" s="41">
        <f t="shared" si="12"/>
        <v>-0.32860000000000866</v>
      </c>
      <c r="AU10" s="41">
        <f t="shared" si="13"/>
        <v>1.2340427545267605</v>
      </c>
      <c r="AW10" s="54">
        <f t="shared" si="14"/>
        <v>1.1079999999999757</v>
      </c>
      <c r="AX10" s="55">
        <f t="shared" si="15"/>
        <v>3.2856000000000023</v>
      </c>
      <c r="AY10" s="56">
        <f t="shared" si="16"/>
        <v>0.54399999999999693</v>
      </c>
      <c r="AZ10" s="56">
        <f t="shared" si="17"/>
        <v>-1.2012</v>
      </c>
      <c r="BL10" s="57"/>
    </row>
    <row r="11" spans="1:64" ht="15.75" customHeight="1">
      <c r="A11" s="58" t="s">
        <v>31</v>
      </c>
      <c r="B11" s="43">
        <v>23833568</v>
      </c>
      <c r="C11" s="44">
        <v>99.86</v>
      </c>
      <c r="D11" s="361"/>
      <c r="E11" s="361"/>
      <c r="F11" s="361"/>
      <c r="G11" s="46" t="s">
        <v>76</v>
      </c>
      <c r="H11" s="3">
        <f>B98</f>
        <v>96.328000000000003</v>
      </c>
      <c r="I11" s="3">
        <f>B99</f>
        <v>0.25043961347998028</v>
      </c>
      <c r="J11" s="3">
        <f>C98</f>
        <v>99.931999999999988</v>
      </c>
      <c r="K11" s="3">
        <f>C99</f>
        <v>2.1679483388677763E-2</v>
      </c>
      <c r="L11" s="3">
        <f>D98</f>
        <v>77.308000000000007</v>
      </c>
      <c r="M11" s="3">
        <f>D99</f>
        <v>4.472135955001867E-3</v>
      </c>
      <c r="N11" s="3">
        <f>E98</f>
        <v>93.455999999999989</v>
      </c>
      <c r="O11" s="3">
        <f>E99</f>
        <v>5.47722557504668E-3</v>
      </c>
      <c r="P11" s="36">
        <f t="shared" si="6"/>
        <v>86.818000000000012</v>
      </c>
      <c r="Q11" s="4">
        <f>J98</f>
        <v>96.454000000000008</v>
      </c>
      <c r="R11" s="4">
        <f>J99</f>
        <v>0.15725775020646826</v>
      </c>
      <c r="S11" s="4">
        <f>K98</f>
        <v>99.95</v>
      </c>
      <c r="T11" s="4">
        <f>K99</f>
        <v>1.4142135623730649E-2</v>
      </c>
      <c r="U11" s="4">
        <f>H98</f>
        <v>73.855999999999995</v>
      </c>
      <c r="V11" s="4">
        <f>H99</f>
        <v>0.27061042108536837</v>
      </c>
      <c r="W11" s="4">
        <f>I98</f>
        <v>91.631999999999991</v>
      </c>
      <c r="X11" s="4">
        <f>I99</f>
        <v>0.14307340773183552</v>
      </c>
      <c r="Y11" s="37">
        <f t="shared" si="7"/>
        <v>85.155000000000001</v>
      </c>
      <c r="Z11" s="7">
        <f>R98</f>
        <v>93.054000000000002</v>
      </c>
      <c r="AA11" s="7">
        <f>R99</f>
        <v>0.28562212799431058</v>
      </c>
      <c r="AB11" s="7">
        <f>S98</f>
        <v>99.787999999999997</v>
      </c>
      <c r="AC11" s="7">
        <f>S99</f>
        <v>3.8987177379237216E-2</v>
      </c>
      <c r="AD11" s="7">
        <f>T98</f>
        <v>67.352000000000004</v>
      </c>
      <c r="AE11" s="7">
        <f>T99</f>
        <v>0.73757711461243358</v>
      </c>
      <c r="AF11" s="7">
        <f>U98</f>
        <v>88.057999999999993</v>
      </c>
      <c r="AG11" s="7">
        <f>U99</f>
        <v>0.56521677257491298</v>
      </c>
      <c r="AH11" s="52">
        <f t="shared" si="8"/>
        <v>80.203000000000003</v>
      </c>
      <c r="AI11" s="8">
        <f>V98</f>
        <v>96.155999999999992</v>
      </c>
      <c r="AJ11" s="8">
        <f>V99</f>
        <v>0.23807561823924661</v>
      </c>
      <c r="AK11" s="8">
        <f>W98</f>
        <v>99.908000000000001</v>
      </c>
      <c r="AL11" s="8">
        <f>W99</f>
        <v>3.7013511046643618E-2</v>
      </c>
      <c r="AM11" s="8">
        <f>X98</f>
        <v>74.343999999999994</v>
      </c>
      <c r="AN11" s="8">
        <f>X99</f>
        <v>5.0299105359835214E-2</v>
      </c>
      <c r="AO11" s="8">
        <f>Y98</f>
        <v>92.295199999999994</v>
      </c>
      <c r="AP11" s="8">
        <f>Y99</f>
        <v>6.4460840826036397E-2</v>
      </c>
      <c r="AQ11" s="53">
        <f t="shared" si="9"/>
        <v>85.25</v>
      </c>
      <c r="AR11" s="41">
        <f t="shared" si="10"/>
        <v>1.5680000000000121</v>
      </c>
      <c r="AS11" s="40">
        <f t="shared" si="11"/>
        <v>1.9742421330728415</v>
      </c>
      <c r="AT11" s="41">
        <f t="shared" si="12"/>
        <v>-9.4999999999998863E-2</v>
      </c>
      <c r="AU11" s="41">
        <f t="shared" si="13"/>
        <v>0.55578593001263743</v>
      </c>
      <c r="AW11" s="54">
        <f t="shared" si="14"/>
        <v>0.17200000000001125</v>
      </c>
      <c r="AX11" s="55">
        <f t="shared" si="15"/>
        <v>2.9640000000000128</v>
      </c>
      <c r="AY11" s="56">
        <f t="shared" si="16"/>
        <v>0.29800000000001603</v>
      </c>
      <c r="AZ11" s="56">
        <f t="shared" si="17"/>
        <v>-0.48799999999999955</v>
      </c>
      <c r="BL11" s="57"/>
    </row>
    <row r="12" spans="1:64" ht="15.75" customHeight="1">
      <c r="A12" s="66" t="s">
        <v>32</v>
      </c>
      <c r="B12" s="34">
        <v>4382312</v>
      </c>
      <c r="C12" s="35">
        <v>99.13</v>
      </c>
      <c r="D12" s="361"/>
      <c r="E12" s="361"/>
      <c r="F12" s="361"/>
      <c r="G12" s="12" t="s">
        <v>79</v>
      </c>
      <c r="H12" s="85">
        <f>B105</f>
        <v>90.518000000000001</v>
      </c>
      <c r="I12" s="85">
        <f>B106</f>
        <v>0.9224261488054194</v>
      </c>
      <c r="J12" s="85">
        <f>C105</f>
        <v>99.766000000000005</v>
      </c>
      <c r="K12" s="85">
        <f>C106</f>
        <v>7.9561297123664318E-2</v>
      </c>
      <c r="L12" s="85">
        <f>D105</f>
        <v>73.47</v>
      </c>
      <c r="M12" s="85">
        <f>D106</f>
        <v>0</v>
      </c>
      <c r="N12" s="85">
        <f>E105</f>
        <v>91.52</v>
      </c>
      <c r="O12" s="85">
        <f>E106</f>
        <v>0</v>
      </c>
      <c r="P12" s="36">
        <f t="shared" si="6"/>
        <v>81.994</v>
      </c>
      <c r="Q12" s="86">
        <f>J105</f>
        <v>91.820000000000007</v>
      </c>
      <c r="R12" s="86">
        <f>J106</f>
        <v>0.7818887388880843</v>
      </c>
      <c r="S12" s="86">
        <f>K105</f>
        <v>99.794000000000011</v>
      </c>
      <c r="T12" s="86">
        <f>K106</f>
        <v>5.3197744313079512E-2</v>
      </c>
      <c r="U12" s="86">
        <f>L105</f>
        <v>66.095999999999989</v>
      </c>
      <c r="V12" s="86">
        <f>L106</f>
        <v>0.45473068952952789</v>
      </c>
      <c r="W12" s="86">
        <f>M105</f>
        <v>87.007999999999996</v>
      </c>
      <c r="X12" s="86">
        <f>M106</f>
        <v>0.24853571171965974</v>
      </c>
      <c r="Y12" s="37">
        <f t="shared" si="7"/>
        <v>78.957999999999998</v>
      </c>
      <c r="Z12" s="76">
        <f>R105</f>
        <v>42.629999999999995</v>
      </c>
      <c r="AA12" s="76">
        <f>R106</f>
        <v>4.5759971590900257</v>
      </c>
      <c r="AB12" s="76">
        <f>S105</f>
        <v>91.951999999999998</v>
      </c>
      <c r="AC12" s="76">
        <f>S106</f>
        <v>4.0062039388927753</v>
      </c>
      <c r="AD12" s="76">
        <f>T105</f>
        <v>36.950000000000003</v>
      </c>
      <c r="AE12" s="76">
        <f>T106</f>
        <v>1.6733051126438359</v>
      </c>
      <c r="AF12" s="76">
        <f>U105</f>
        <v>61.564</v>
      </c>
      <c r="AG12" s="76">
        <f>U106</f>
        <v>1.9184577138941583</v>
      </c>
      <c r="AH12" s="52">
        <f t="shared" si="8"/>
        <v>39.79</v>
      </c>
      <c r="AI12" s="80">
        <f>V105</f>
        <v>88.117999999999995</v>
      </c>
      <c r="AJ12" s="80">
        <f>V106</f>
        <v>2.380182766091715</v>
      </c>
      <c r="AK12" s="80">
        <f>W105</f>
        <v>99.628</v>
      </c>
      <c r="AL12" s="80">
        <f>W106</f>
        <v>0.14042791745233343</v>
      </c>
      <c r="AM12" s="80">
        <f>X105</f>
        <v>62.596000000000004</v>
      </c>
      <c r="AN12" s="80">
        <f>X106</f>
        <v>2.0658242906888282</v>
      </c>
      <c r="AO12" s="80">
        <f>Y105</f>
        <v>84.78</v>
      </c>
      <c r="AP12" s="80">
        <f>Y106</f>
        <v>1.5328241908320741</v>
      </c>
      <c r="AQ12" s="53">
        <f t="shared" si="9"/>
        <v>75.356999999999999</v>
      </c>
      <c r="AR12" s="41">
        <f t="shared" si="10"/>
        <v>6.6370000000000005</v>
      </c>
      <c r="AS12" s="40">
        <f t="shared" si="11"/>
        <v>5.9920228637747979</v>
      </c>
      <c r="AT12" s="41">
        <f t="shared" si="12"/>
        <v>3.6009999999999991</v>
      </c>
      <c r="AU12" s="41">
        <f t="shared" si="13"/>
        <v>0.14283556979970141</v>
      </c>
      <c r="AW12" s="54">
        <f t="shared" si="14"/>
        <v>2.4000000000000057</v>
      </c>
      <c r="AX12" s="55">
        <f t="shared" si="15"/>
        <v>10.873999999999995</v>
      </c>
      <c r="AY12" s="56">
        <f t="shared" si="16"/>
        <v>3.7020000000000124</v>
      </c>
      <c r="AZ12" s="56">
        <f t="shared" si="17"/>
        <v>3.4999999999999858</v>
      </c>
      <c r="BL12" s="57"/>
    </row>
    <row r="13" spans="1:64" ht="15.75" customHeight="1">
      <c r="A13" s="42" t="s">
        <v>34</v>
      </c>
      <c r="B13" s="43">
        <v>3503872</v>
      </c>
      <c r="C13" s="44">
        <v>99.03</v>
      </c>
      <c r="D13" s="361"/>
      <c r="E13" s="361"/>
      <c r="F13" s="361"/>
      <c r="G13" s="46" t="s">
        <v>81</v>
      </c>
      <c r="H13" s="87">
        <f>B112</f>
        <v>94.198000000000008</v>
      </c>
      <c r="I13" s="87">
        <f>B113</f>
        <v>0.28525427253592611</v>
      </c>
      <c r="J13" s="87">
        <f>C112</f>
        <v>99.883999999999986</v>
      </c>
      <c r="K13" s="87">
        <f>C113</f>
        <v>1.1401754250992852E-2</v>
      </c>
      <c r="L13" s="87">
        <f>D112</f>
        <v>71.87</v>
      </c>
      <c r="M13" s="87">
        <f>D113</f>
        <v>0</v>
      </c>
      <c r="N13" s="87">
        <f>E112</f>
        <v>90.3</v>
      </c>
      <c r="O13" s="87">
        <f>E113</f>
        <v>0</v>
      </c>
      <c r="P13" s="36">
        <f t="shared" si="6"/>
        <v>83.034000000000006</v>
      </c>
      <c r="Q13" s="89">
        <f>J112</f>
        <v>93.518000000000001</v>
      </c>
      <c r="R13" s="89">
        <f>J113</f>
        <v>0.67254739609933856</v>
      </c>
      <c r="S13" s="90">
        <f>K112</f>
        <v>99.828000000000003</v>
      </c>
      <c r="T13" s="90">
        <f>K113</f>
        <v>2.9495762407506128E-2</v>
      </c>
      <c r="U13" s="90">
        <f>L112</f>
        <v>64.81</v>
      </c>
      <c r="V13" s="90">
        <f>L113</f>
        <v>0.59669925423114301</v>
      </c>
      <c r="W13" s="90">
        <f>M112</f>
        <v>86.171999999999997</v>
      </c>
      <c r="X13" s="90">
        <f>M113</f>
        <v>0.39309032040995318</v>
      </c>
      <c r="Y13" s="37">
        <f t="shared" si="7"/>
        <v>79.164000000000001</v>
      </c>
      <c r="Z13" s="17">
        <f>R112</f>
        <v>73.111999999999995</v>
      </c>
      <c r="AA13" s="17">
        <f>R113</f>
        <v>4.1880031041058201</v>
      </c>
      <c r="AB13" s="17">
        <f>S112</f>
        <v>96.907999999999987</v>
      </c>
      <c r="AC13" s="17">
        <f>S113</f>
        <v>1.4570586810420507</v>
      </c>
      <c r="AD13" s="17">
        <f>T112</f>
        <v>40.786000000000001</v>
      </c>
      <c r="AE13" s="17">
        <f>T113</f>
        <v>2.8468544044260509</v>
      </c>
      <c r="AF13" s="17">
        <f>U112</f>
        <v>65.936000000000007</v>
      </c>
      <c r="AG13" s="17">
        <f>U113</f>
        <v>2.8853301370900359</v>
      </c>
      <c r="AH13" s="52">
        <f t="shared" si="8"/>
        <v>56.948999999999998</v>
      </c>
      <c r="AI13" s="18">
        <f>V112</f>
        <v>89.527999999999992</v>
      </c>
      <c r="AJ13" s="18">
        <f>V113</f>
        <v>3.8360357141194612</v>
      </c>
      <c r="AK13" s="18">
        <f>W112</f>
        <v>99.507999999999996</v>
      </c>
      <c r="AL13" s="18">
        <f>W113</f>
        <v>0.46386420426672548</v>
      </c>
      <c r="AM13" s="18">
        <f>X112</f>
        <v>61.159999999999989</v>
      </c>
      <c r="AN13" s="18">
        <f>X113</f>
        <v>2.4281165540393648</v>
      </c>
      <c r="AO13" s="18">
        <f>Y112</f>
        <v>83.996000000000009</v>
      </c>
      <c r="AP13" s="18">
        <f>Y113</f>
        <v>1.7422341978046478</v>
      </c>
      <c r="AQ13" s="53">
        <f t="shared" si="9"/>
        <v>75.343999999999994</v>
      </c>
      <c r="AR13" s="41">
        <f t="shared" si="10"/>
        <v>7.6900000000000119</v>
      </c>
      <c r="AS13" s="40">
        <f t="shared" si="11"/>
        <v>4.2709249583667441</v>
      </c>
      <c r="AT13" s="41">
        <f t="shared" si="12"/>
        <v>3.8200000000000074</v>
      </c>
      <c r="AU13" s="41">
        <f t="shared" si="13"/>
        <v>0.24041630560342353</v>
      </c>
      <c r="AW13" s="54">
        <f t="shared" si="14"/>
        <v>4.6700000000000159</v>
      </c>
      <c r="AX13" s="55">
        <f t="shared" si="15"/>
        <v>10.710000000000015</v>
      </c>
      <c r="AY13" s="56">
        <f t="shared" si="16"/>
        <v>3.9900000000000091</v>
      </c>
      <c r="AZ13" s="56">
        <f t="shared" si="17"/>
        <v>3.6500000000000128</v>
      </c>
      <c r="BL13" s="57"/>
    </row>
    <row r="14" spans="1:64" ht="15.75" customHeight="1">
      <c r="A14" s="66" t="s">
        <v>35</v>
      </c>
      <c r="B14" s="34">
        <v>11688512</v>
      </c>
      <c r="C14" s="35">
        <v>99.92</v>
      </c>
      <c r="D14" s="361"/>
      <c r="E14" s="361"/>
      <c r="F14" s="361"/>
      <c r="G14" s="12" t="s">
        <v>83</v>
      </c>
      <c r="H14" s="69">
        <f>B119</f>
        <v>94.686000000000007</v>
      </c>
      <c r="I14" s="69">
        <f>B120</f>
        <v>0.41379946834185483</v>
      </c>
      <c r="J14" s="69">
        <f>C119</f>
        <v>99.872</v>
      </c>
      <c r="K14" s="69">
        <f>C120</f>
        <v>2.3874672772627253E-2</v>
      </c>
      <c r="L14" s="69">
        <f>D119</f>
        <v>69.760000000000005</v>
      </c>
      <c r="M14" s="69">
        <f>D120</f>
        <v>0</v>
      </c>
      <c r="N14" s="69">
        <f>E119</f>
        <v>89.08</v>
      </c>
      <c r="O14" s="69">
        <f>E120</f>
        <v>0</v>
      </c>
      <c r="P14" s="36">
        <f t="shared" si="6"/>
        <v>82.223000000000013</v>
      </c>
      <c r="Q14" s="73">
        <f>J119</f>
        <v>94.581999999999994</v>
      </c>
      <c r="R14" s="73">
        <f>J120</f>
        <v>0.13754999091239326</v>
      </c>
      <c r="S14" s="73">
        <f>K119</f>
        <v>99.85</v>
      </c>
      <c r="T14" s="73">
        <f>K120</f>
        <v>4.3011626335212008E-2</v>
      </c>
      <c r="U14" s="73">
        <f>H119</f>
        <v>66.542000000000002</v>
      </c>
      <c r="V14" s="73">
        <f>H120</f>
        <v>0.39795728413989284</v>
      </c>
      <c r="W14" s="73">
        <f>I119</f>
        <v>87.135999999999996</v>
      </c>
      <c r="X14" s="73">
        <f>I120</f>
        <v>0.25686572367679134</v>
      </c>
      <c r="Y14" s="37">
        <f t="shared" si="7"/>
        <v>80.561999999999998</v>
      </c>
      <c r="Z14" s="76">
        <f>R119</f>
        <v>93.501999999999995</v>
      </c>
      <c r="AA14" s="76">
        <f>R120</f>
        <v>0.25791471458604337</v>
      </c>
      <c r="AB14" s="76">
        <f>S119</f>
        <v>99.825999999999993</v>
      </c>
      <c r="AC14" s="76">
        <f>S120</f>
        <v>3.9749213828701037E-2</v>
      </c>
      <c r="AD14" s="76">
        <f>P119</f>
        <v>61.874000000000002</v>
      </c>
      <c r="AE14" s="76">
        <f>P120</f>
        <v>0.27942798714516631</v>
      </c>
      <c r="AF14" s="76">
        <f>Q119</f>
        <v>84.15</v>
      </c>
      <c r="AG14" s="76">
        <f>Q120</f>
        <v>0.26870057685088911</v>
      </c>
      <c r="AH14" s="52">
        <f t="shared" si="8"/>
        <v>77.688000000000002</v>
      </c>
      <c r="AI14" s="80">
        <f>V119</f>
        <v>94.405999999999992</v>
      </c>
      <c r="AJ14" s="80">
        <f>V120</f>
        <v>0.13427583550289399</v>
      </c>
      <c r="AK14" s="80">
        <f>W119</f>
        <v>99.841999999999999</v>
      </c>
      <c r="AL14" s="80">
        <f>W120</f>
        <v>5.2153619241622255E-2</v>
      </c>
      <c r="AM14" s="80">
        <f>X119</f>
        <v>64.646000000000001</v>
      </c>
      <c r="AN14" s="80">
        <f>X120</f>
        <v>0.39246655908497491</v>
      </c>
      <c r="AO14" s="80">
        <f>Y119</f>
        <v>86.277999999999992</v>
      </c>
      <c r="AP14" s="80">
        <f>Y120</f>
        <v>0.38081491567426484</v>
      </c>
      <c r="AQ14" s="53">
        <f t="shared" si="9"/>
        <v>79.525999999999996</v>
      </c>
      <c r="AR14" s="41">
        <f t="shared" si="10"/>
        <v>2.6970000000000169</v>
      </c>
      <c r="AS14" s="40">
        <f t="shared" si="11"/>
        <v>3.4181541802557631</v>
      </c>
      <c r="AT14" s="41">
        <f t="shared" si="12"/>
        <v>1.0360000000000014</v>
      </c>
      <c r="AU14" s="41">
        <f t="shared" si="13"/>
        <v>1.2162236636408608</v>
      </c>
      <c r="AW14" s="54">
        <f t="shared" si="14"/>
        <v>0.28000000000001535</v>
      </c>
      <c r="AX14" s="55">
        <f t="shared" si="15"/>
        <v>5.1140000000000043</v>
      </c>
      <c r="AY14" s="56">
        <f t="shared" si="16"/>
        <v>0.17600000000000193</v>
      </c>
      <c r="AZ14" s="56">
        <f t="shared" si="17"/>
        <v>1.8960000000000008</v>
      </c>
      <c r="BL14" s="57"/>
    </row>
    <row r="15" spans="1:64" ht="15.75" customHeight="1">
      <c r="A15" s="58" t="s">
        <v>36</v>
      </c>
      <c r="B15" s="43">
        <v>1231552</v>
      </c>
      <c r="C15" s="44">
        <v>100</v>
      </c>
      <c r="D15" s="361"/>
      <c r="E15" s="361"/>
      <c r="F15" s="361"/>
      <c r="G15" s="46" t="s">
        <v>84</v>
      </c>
      <c r="H15" s="97">
        <f>B126</f>
        <v>85.962000000000018</v>
      </c>
      <c r="I15" s="97">
        <f>B127</f>
        <v>3.721286068014658</v>
      </c>
      <c r="J15" s="97">
        <f>C126</f>
        <v>99.686000000000007</v>
      </c>
      <c r="K15" s="97">
        <f>C127</f>
        <v>9.449867723941914E-2</v>
      </c>
      <c r="L15" s="97">
        <f>D126</f>
        <v>58.179999999999993</v>
      </c>
      <c r="M15" s="97">
        <f>D127</f>
        <v>7.944109290391274E-15</v>
      </c>
      <c r="N15" s="97">
        <f>E126</f>
        <v>80.61</v>
      </c>
      <c r="O15" s="97">
        <f>E127</f>
        <v>0</v>
      </c>
      <c r="P15" s="36">
        <f t="shared" si="6"/>
        <v>72.070999999999998</v>
      </c>
      <c r="Q15" s="98">
        <f>J126</f>
        <v>87.768000000000001</v>
      </c>
      <c r="R15" s="98">
        <f>J127</f>
        <v>0.95909853508385512</v>
      </c>
      <c r="S15" s="98">
        <f>K126</f>
        <v>99.549999999999983</v>
      </c>
      <c r="T15" s="98">
        <f>K127</f>
        <v>0.13583077707206351</v>
      </c>
      <c r="U15" s="98">
        <f>L126</f>
        <v>44.438000000000002</v>
      </c>
      <c r="V15" s="98">
        <f>L127</f>
        <v>0.6278694131744279</v>
      </c>
      <c r="W15" s="98">
        <f>M126</f>
        <v>70.395999999999987</v>
      </c>
      <c r="X15" s="98">
        <f>M127</f>
        <v>0.65675718496259905</v>
      </c>
      <c r="Y15" s="37">
        <f t="shared" si="7"/>
        <v>66.103000000000009</v>
      </c>
      <c r="Z15" s="7">
        <f>R126</f>
        <v>85.580000000000013</v>
      </c>
      <c r="AA15" s="7">
        <f>R127</f>
        <v>1.9978113024007027</v>
      </c>
      <c r="AB15" s="7">
        <f>S126</f>
        <v>99.463999999999984</v>
      </c>
      <c r="AC15" s="7">
        <f>S127</f>
        <v>0.14135062787267613</v>
      </c>
      <c r="AD15" s="7">
        <f>T126</f>
        <v>38.532000000000004</v>
      </c>
      <c r="AE15" s="7">
        <f>T127</f>
        <v>2.2733389540497493</v>
      </c>
      <c r="AF15" s="7">
        <f>U126</f>
        <v>64.722000000000008</v>
      </c>
      <c r="AG15" s="7">
        <f>U127</f>
        <v>2.1768601241237344</v>
      </c>
      <c r="AH15" s="52">
        <f t="shared" si="8"/>
        <v>62.056000000000012</v>
      </c>
      <c r="AI15" s="8">
        <f>V126</f>
        <v>85.683999999999997</v>
      </c>
      <c r="AJ15" s="8">
        <f>V127</f>
        <v>2.5938928273928354</v>
      </c>
      <c r="AK15" s="8">
        <f>Y126</f>
        <v>66.936000000000007</v>
      </c>
      <c r="AL15" s="8">
        <f>Y127</f>
        <v>1.303430090185127</v>
      </c>
      <c r="AM15" s="8">
        <f>X126</f>
        <v>41.036000000000001</v>
      </c>
      <c r="AN15" s="8">
        <f>X127</f>
        <v>1.283639357452083</v>
      </c>
      <c r="AO15" s="8">
        <f>Y126</f>
        <v>66.936000000000007</v>
      </c>
      <c r="AP15" s="8">
        <f>Y127</f>
        <v>1.303430090185127</v>
      </c>
      <c r="AQ15" s="53">
        <f t="shared" si="9"/>
        <v>63.36</v>
      </c>
      <c r="AR15" s="41">
        <f t="shared" si="10"/>
        <v>8.7109999999999985</v>
      </c>
      <c r="AS15" s="40">
        <f t="shared" si="11"/>
        <v>11.926062971492289</v>
      </c>
      <c r="AT15" s="41">
        <f t="shared" si="12"/>
        <v>2.7430000000000092</v>
      </c>
      <c r="AU15" s="41">
        <f t="shared" si="13"/>
        <v>0.93196673760386817</v>
      </c>
      <c r="AW15" s="54">
        <f t="shared" si="14"/>
        <v>0.27800000000002001</v>
      </c>
      <c r="AX15" s="55">
        <f t="shared" si="15"/>
        <v>17.143999999999991</v>
      </c>
      <c r="AY15" s="56">
        <f t="shared" si="16"/>
        <v>2.0840000000000032</v>
      </c>
      <c r="AZ15" s="56">
        <f t="shared" si="17"/>
        <v>3.402000000000001</v>
      </c>
      <c r="BL15" s="57"/>
    </row>
    <row r="16" spans="1:64" ht="15.75" customHeight="1">
      <c r="A16" s="66" t="s">
        <v>37</v>
      </c>
      <c r="B16" s="34">
        <v>138344128</v>
      </c>
      <c r="C16" s="35">
        <v>100</v>
      </c>
      <c r="D16" s="361"/>
      <c r="E16" s="361"/>
      <c r="F16" s="361"/>
      <c r="G16" s="362" t="s">
        <v>85</v>
      </c>
      <c r="H16" s="69">
        <f>B133</f>
        <v>92.548000000000002</v>
      </c>
      <c r="I16" s="69">
        <f>B134</f>
        <v>0.43877101089292692</v>
      </c>
      <c r="J16" s="69">
        <f>C133</f>
        <v>99.847999999999999</v>
      </c>
      <c r="K16" s="69">
        <f>C134</f>
        <v>6.870225614927046E-2</v>
      </c>
      <c r="L16" s="69">
        <f>D133</f>
        <v>71.58</v>
      </c>
      <c r="M16" s="69">
        <f>D134</f>
        <v>0</v>
      </c>
      <c r="N16" s="69">
        <f>E133</f>
        <v>90.39</v>
      </c>
      <c r="O16" s="69">
        <f>E134</f>
        <v>0</v>
      </c>
      <c r="P16" s="36">
        <f t="shared" si="6"/>
        <v>82.063999999999993</v>
      </c>
      <c r="Q16" s="73">
        <f>J133</f>
        <v>93.02200000000002</v>
      </c>
      <c r="R16" s="73">
        <f>J134</f>
        <v>0.33707565916274707</v>
      </c>
      <c r="S16" s="73">
        <f>K133</f>
        <v>99.822000000000003</v>
      </c>
      <c r="T16" s="73">
        <f>K134</f>
        <v>5.4037024344427712E-2</v>
      </c>
      <c r="U16" s="73">
        <f>H133</f>
        <v>70.878</v>
      </c>
      <c r="V16" s="73">
        <f>H134</f>
        <v>6.2209324059987345E-2</v>
      </c>
      <c r="W16" s="73">
        <f>I133</f>
        <v>89.967999999999989</v>
      </c>
      <c r="X16" s="73">
        <f>I134</f>
        <v>1.3038404810407063E-2</v>
      </c>
      <c r="Y16" s="37">
        <f t="shared" si="7"/>
        <v>81.950000000000017</v>
      </c>
      <c r="Z16" s="99">
        <f>R133</f>
        <v>92.218000000000004</v>
      </c>
      <c r="AA16" s="99">
        <f>R134</f>
        <v>0.53541572632861945</v>
      </c>
      <c r="AB16" s="76">
        <f>S133</f>
        <v>99.805999999999997</v>
      </c>
      <c r="AC16" s="76">
        <f>S134</f>
        <v>6.9498201415574445E-2</v>
      </c>
      <c r="AD16" s="76">
        <f>P133</f>
        <v>68.575999999999993</v>
      </c>
      <c r="AE16" s="76">
        <f>P134</f>
        <v>6.9137544069777623E-2</v>
      </c>
      <c r="AF16" s="76">
        <f>Q133</f>
        <v>88.537999999999997</v>
      </c>
      <c r="AG16" s="76">
        <f>Q134</f>
        <v>4.0249223594997739E-2</v>
      </c>
      <c r="AH16" s="52">
        <f t="shared" si="8"/>
        <v>80.396999999999991</v>
      </c>
      <c r="AI16" s="80">
        <f>V133</f>
        <v>92.618000000000009</v>
      </c>
      <c r="AJ16" s="80">
        <f>V134</f>
        <v>0.42926681679346806</v>
      </c>
      <c r="AK16" s="80">
        <f>W133</f>
        <v>99.825999999999993</v>
      </c>
      <c r="AL16" s="80">
        <f>W134</f>
        <v>3.8470768123340944E-2</v>
      </c>
      <c r="AM16" s="80">
        <f>X133</f>
        <v>66.134</v>
      </c>
      <c r="AN16" s="80">
        <f>X134</f>
        <v>0.48221364559705399</v>
      </c>
      <c r="AO16" s="80">
        <f>Y133</f>
        <v>87.481999999999999</v>
      </c>
      <c r="AP16" s="80">
        <f>Y134</f>
        <v>0.17824140933015753</v>
      </c>
      <c r="AQ16" s="53">
        <f t="shared" si="9"/>
        <v>79.376000000000005</v>
      </c>
      <c r="AR16" s="41">
        <f t="shared" si="10"/>
        <v>1.6670000000000016</v>
      </c>
      <c r="AS16" s="40">
        <f t="shared" si="11"/>
        <v>2.1736462453674559</v>
      </c>
      <c r="AT16" s="41">
        <f t="shared" si="12"/>
        <v>1.5530000000000257</v>
      </c>
      <c r="AU16" s="41">
        <f t="shared" si="13"/>
        <v>1.3420886706920643</v>
      </c>
      <c r="AW16" s="54">
        <f t="shared" si="14"/>
        <v>-7.000000000000739E-2</v>
      </c>
      <c r="AX16" s="55">
        <f t="shared" si="15"/>
        <v>3.0040000000000049</v>
      </c>
      <c r="AY16" s="56">
        <f t="shared" si="16"/>
        <v>0.40400000000001057</v>
      </c>
      <c r="AZ16" s="56">
        <f t="shared" si="17"/>
        <v>2.3020000000000067</v>
      </c>
      <c r="BL16" s="57"/>
    </row>
    <row r="17" spans="1:64" ht="15.75" customHeight="1">
      <c r="A17" s="58" t="s">
        <v>38</v>
      </c>
      <c r="B17" s="43">
        <v>138352576</v>
      </c>
      <c r="C17" s="44">
        <v>99.99</v>
      </c>
      <c r="D17" s="361"/>
      <c r="E17" s="361"/>
      <c r="F17" s="325"/>
      <c r="G17" s="325"/>
      <c r="H17" s="3">
        <f>B140</f>
        <v>93.810000000000016</v>
      </c>
      <c r="I17" s="3">
        <f>B141</f>
        <v>0.26019223662515512</v>
      </c>
      <c r="J17" s="3">
        <f>D140</f>
        <v>73.38</v>
      </c>
      <c r="K17" s="3">
        <f>C141</f>
        <v>3.1304951684996953E-2</v>
      </c>
      <c r="L17" s="3">
        <f>D140</f>
        <v>73.38</v>
      </c>
      <c r="M17" s="3">
        <f>D141</f>
        <v>0</v>
      </c>
      <c r="N17" s="3">
        <f>E140</f>
        <v>91.5</v>
      </c>
      <c r="O17" s="3">
        <f>E141</f>
        <v>0</v>
      </c>
      <c r="P17" s="36">
        <f t="shared" si="6"/>
        <v>83.594999999999999</v>
      </c>
      <c r="Q17" s="4">
        <f>J140</f>
        <v>89.503999999999991</v>
      </c>
      <c r="R17" s="4">
        <f>J141</f>
        <v>0.67210862217352929</v>
      </c>
      <c r="S17" s="4">
        <f>K140</f>
        <v>99.558000000000007</v>
      </c>
      <c r="T17" s="4">
        <f>K141</f>
        <v>0.12696456198483297</v>
      </c>
      <c r="U17" s="4">
        <f>L140</f>
        <v>67.035599999999974</v>
      </c>
      <c r="V17" s="4">
        <f>L141</f>
        <v>0.62952903030755025</v>
      </c>
      <c r="W17" s="4">
        <f>M140</f>
        <v>87.879600000000011</v>
      </c>
      <c r="X17" s="4">
        <f>M141</f>
        <v>0.41210532634266805</v>
      </c>
      <c r="Y17" s="37">
        <f t="shared" si="7"/>
        <v>78.269799999999975</v>
      </c>
      <c r="Z17" s="7">
        <f>N140</f>
        <v>87.147999999999996</v>
      </c>
      <c r="AA17" s="7">
        <f>N141</f>
        <v>1.5487317391982354</v>
      </c>
      <c r="AB17" s="104">
        <f>O140</f>
        <v>99.320000000000007</v>
      </c>
      <c r="AC17" s="104">
        <f>O141</f>
        <v>0.37656340767525148</v>
      </c>
      <c r="AD17" s="104">
        <f>T140</f>
        <v>62.267199999999981</v>
      </c>
      <c r="AE17" s="104">
        <f>T141</f>
        <v>0.9096203603702061</v>
      </c>
      <c r="AF17" s="104">
        <f>U140</f>
        <v>84.557600000000008</v>
      </c>
      <c r="AG17" s="104">
        <f>U141</f>
        <v>0.77478306641278716</v>
      </c>
      <c r="AH17" s="52">
        <f t="shared" si="8"/>
        <v>74.707599999999985</v>
      </c>
      <c r="AI17" s="8">
        <f>V140</f>
        <v>90.47</v>
      </c>
      <c r="AJ17" s="8">
        <f>V141</f>
        <v>0.73807181222425766</v>
      </c>
      <c r="AK17" s="8">
        <f>W140</f>
        <v>99.628</v>
      </c>
      <c r="AL17" s="8">
        <f>W141</f>
        <v>0.11670475568716021</v>
      </c>
      <c r="AM17" s="8">
        <f>X140</f>
        <v>69.266400000000004</v>
      </c>
      <c r="AN17" s="8">
        <f>X141</f>
        <v>0.62334966110522738</v>
      </c>
      <c r="AO17" s="8">
        <f>Y140</f>
        <v>89.435999999999993</v>
      </c>
      <c r="AP17" s="8">
        <f>Y141</f>
        <v>0.38003947163419516</v>
      </c>
      <c r="AQ17" s="53">
        <f t="shared" si="9"/>
        <v>79.868200000000002</v>
      </c>
      <c r="AR17" s="41">
        <f t="shared" si="10"/>
        <v>3.7267999999999972</v>
      </c>
      <c r="AS17" s="40">
        <f t="shared" si="11"/>
        <v>0.54701780592589366</v>
      </c>
      <c r="AT17" s="41">
        <f t="shared" si="12"/>
        <v>-1.5984000000000265</v>
      </c>
      <c r="AU17" s="41">
        <f t="shared" si="13"/>
        <v>0.89434865684476073</v>
      </c>
      <c r="AW17" s="54">
        <f t="shared" si="14"/>
        <v>3.3400000000000176</v>
      </c>
      <c r="AX17" s="55">
        <f t="shared" si="15"/>
        <v>4.113599999999991</v>
      </c>
      <c r="AY17" s="56">
        <f t="shared" si="16"/>
        <v>-0.96600000000000819</v>
      </c>
      <c r="AZ17" s="56">
        <f t="shared" si="17"/>
        <v>-2.2308000000000305</v>
      </c>
      <c r="BL17" s="57"/>
    </row>
    <row r="18" spans="1:64" ht="15.75" customHeight="1">
      <c r="A18" s="66" t="s">
        <v>87</v>
      </c>
      <c r="B18" s="105">
        <v>86567656</v>
      </c>
      <c r="C18" s="35">
        <v>98.11</v>
      </c>
      <c r="D18" s="325"/>
      <c r="E18" s="325"/>
      <c r="F18" s="106" t="s">
        <v>88</v>
      </c>
      <c r="G18" s="46" t="s">
        <v>89</v>
      </c>
      <c r="H18" s="107" t="s">
        <v>57</v>
      </c>
      <c r="I18" s="107" t="s">
        <v>57</v>
      </c>
      <c r="J18" s="107" t="s">
        <v>57</v>
      </c>
      <c r="K18" s="107" t="s">
        <v>57</v>
      </c>
      <c r="L18" s="69">
        <f>D147</f>
        <v>81.430000000000007</v>
      </c>
      <c r="M18" s="69">
        <f>D148</f>
        <v>0</v>
      </c>
      <c r="N18" s="69">
        <f>E147</f>
        <v>96.01</v>
      </c>
      <c r="O18" s="69">
        <f>E148</f>
        <v>0</v>
      </c>
      <c r="P18" s="36">
        <f>L18</f>
        <v>81.430000000000007</v>
      </c>
      <c r="Q18" s="109" t="s">
        <v>57</v>
      </c>
      <c r="R18" s="109" t="s">
        <v>57</v>
      </c>
      <c r="S18" s="109" t="s">
        <v>57</v>
      </c>
      <c r="T18" s="109" t="s">
        <v>57</v>
      </c>
      <c r="U18" s="73">
        <f>H147</f>
        <v>81.441999999999993</v>
      </c>
      <c r="V18" s="73">
        <f>H148</f>
        <v>1.7888543819993569E-2</v>
      </c>
      <c r="W18" s="73">
        <f>I147</f>
        <v>96.00800000000001</v>
      </c>
      <c r="X18" s="73">
        <f>I148</f>
        <v>1.6431676725156039E-2</v>
      </c>
      <c r="Y18" s="37">
        <f>U18</f>
        <v>81.441999999999993</v>
      </c>
      <c r="Z18" s="110" t="s">
        <v>57</v>
      </c>
      <c r="AA18" s="110" t="s">
        <v>57</v>
      </c>
      <c r="AB18" s="110" t="s">
        <v>57</v>
      </c>
      <c r="AC18" s="110" t="s">
        <v>57</v>
      </c>
      <c r="AD18" s="76">
        <f>P147</f>
        <v>81.260000000000005</v>
      </c>
      <c r="AE18" s="76">
        <f>P148</f>
        <v>2.3452078799121569E-2</v>
      </c>
      <c r="AF18" s="76">
        <f>Q147</f>
        <v>95.88</v>
      </c>
      <c r="AG18" s="76">
        <f>Q148</f>
        <v>9.9999999999980105E-3</v>
      </c>
      <c r="AH18" s="52">
        <f>AD18</f>
        <v>81.260000000000005</v>
      </c>
      <c r="AI18" s="363"/>
      <c r="AJ18" s="330"/>
      <c r="AK18" s="330"/>
      <c r="AL18" s="330"/>
      <c r="AM18" s="330"/>
      <c r="AN18" s="330"/>
      <c r="AO18" s="330"/>
      <c r="AP18" s="330"/>
      <c r="AQ18" s="331"/>
      <c r="AR18" s="41">
        <f>P18-AH18</f>
        <v>0.17000000000000171</v>
      </c>
      <c r="AS18" s="41">
        <v>0</v>
      </c>
      <c r="AT18" s="41">
        <f>Y18-AH18</f>
        <v>0.18199999999998795</v>
      </c>
      <c r="AU18" s="41">
        <v>0</v>
      </c>
      <c r="AW18" s="111"/>
      <c r="BL18" s="57"/>
    </row>
    <row r="19" spans="1:64" ht="15.75" customHeight="1">
      <c r="A19" s="112"/>
      <c r="B19" s="113"/>
      <c r="C19" s="114"/>
      <c r="D19" s="115"/>
      <c r="E19" s="116"/>
      <c r="F19" s="117"/>
      <c r="G19" s="118"/>
      <c r="H19" s="119" t="s">
        <v>40</v>
      </c>
      <c r="I19" s="119" t="s">
        <v>47</v>
      </c>
      <c r="J19" s="119" t="s">
        <v>44</v>
      </c>
      <c r="K19" s="119" t="s">
        <v>45</v>
      </c>
      <c r="L19" s="119" t="s">
        <v>42</v>
      </c>
      <c r="M19" s="119" t="s">
        <v>43</v>
      </c>
      <c r="N19" s="119" t="s">
        <v>41</v>
      </c>
      <c r="O19" s="119" t="s">
        <v>46</v>
      </c>
      <c r="P19" s="119"/>
      <c r="Q19" s="119" t="s">
        <v>40</v>
      </c>
      <c r="R19" s="119" t="s">
        <v>47</v>
      </c>
      <c r="S19" s="119" t="s">
        <v>44</v>
      </c>
      <c r="T19" s="119" t="s">
        <v>45</v>
      </c>
      <c r="U19" s="119" t="s">
        <v>42</v>
      </c>
      <c r="V19" s="119" t="s">
        <v>43</v>
      </c>
      <c r="W19" s="119" t="s">
        <v>41</v>
      </c>
      <c r="X19" s="119" t="s">
        <v>46</v>
      </c>
      <c r="Y19" s="119"/>
      <c r="Z19" s="119" t="s">
        <v>40</v>
      </c>
      <c r="AA19" s="119" t="s">
        <v>47</v>
      </c>
      <c r="AB19" s="119" t="s">
        <v>44</v>
      </c>
      <c r="AC19" s="119" t="s">
        <v>45</v>
      </c>
      <c r="AD19" s="119" t="s">
        <v>42</v>
      </c>
      <c r="AE19" s="119" t="s">
        <v>43</v>
      </c>
      <c r="AF19" s="119" t="s">
        <v>41</v>
      </c>
      <c r="AG19" s="119" t="s">
        <v>46</v>
      </c>
      <c r="AH19" s="119"/>
      <c r="AI19" s="364"/>
      <c r="AJ19" s="335"/>
      <c r="AK19" s="335"/>
      <c r="AL19" s="335"/>
      <c r="AM19" s="335"/>
      <c r="AN19" s="335"/>
      <c r="AO19" s="335"/>
      <c r="AP19" s="335"/>
      <c r="AQ19" s="336"/>
      <c r="AR19" s="119"/>
      <c r="AS19" s="119"/>
      <c r="AT19" s="119"/>
      <c r="AU19" s="119"/>
      <c r="AW19" s="111"/>
      <c r="BL19" s="57"/>
    </row>
    <row r="20" spans="1:64" ht="15.75" customHeight="1">
      <c r="A20" s="66" t="s">
        <v>90</v>
      </c>
      <c r="B20" s="34">
        <v>335143938</v>
      </c>
      <c r="C20" s="35">
        <v>90.42</v>
      </c>
      <c r="D20" s="357" t="s">
        <v>19</v>
      </c>
      <c r="E20" s="360" t="s">
        <v>91</v>
      </c>
      <c r="F20" s="358" t="s">
        <v>92</v>
      </c>
      <c r="G20" s="12" t="s">
        <v>93</v>
      </c>
      <c r="H20" s="120">
        <v>63.83</v>
      </c>
      <c r="I20" s="121">
        <v>93</v>
      </c>
      <c r="J20" s="121">
        <v>42.16</v>
      </c>
      <c r="K20" s="122" t="s">
        <v>57</v>
      </c>
      <c r="L20" s="122" t="s">
        <v>57</v>
      </c>
      <c r="M20" s="121">
        <v>64.62</v>
      </c>
      <c r="N20" s="121">
        <v>39.44</v>
      </c>
      <c r="O20" s="121">
        <v>82.32</v>
      </c>
      <c r="P20" s="120">
        <f t="shared" ref="P20:P21" si="18">AVERAGE(H20:O20)</f>
        <v>64.228333333333339</v>
      </c>
      <c r="Q20" s="123">
        <v>64.31</v>
      </c>
      <c r="R20" s="123">
        <v>92.55</v>
      </c>
      <c r="S20" s="123">
        <v>42.4</v>
      </c>
      <c r="T20" s="124" t="s">
        <v>57</v>
      </c>
      <c r="U20" s="124" t="s">
        <v>57</v>
      </c>
      <c r="V20" s="123">
        <v>66.790000000000006</v>
      </c>
      <c r="W20" s="123">
        <v>39.44</v>
      </c>
      <c r="X20" s="123">
        <v>82.16</v>
      </c>
      <c r="Y20" s="125">
        <f t="shared" ref="Y20:Y21" si="19">AVERAGE(Q20:X20)</f>
        <v>64.608333333333334</v>
      </c>
      <c r="Z20" s="126">
        <v>63.6</v>
      </c>
      <c r="AA20" s="126">
        <v>92.89</v>
      </c>
      <c r="AB20" s="126">
        <v>41.42</v>
      </c>
      <c r="AC20" s="128" t="s">
        <v>57</v>
      </c>
      <c r="AD20" s="129" t="s">
        <v>57</v>
      </c>
      <c r="AE20" s="126">
        <v>65.7</v>
      </c>
      <c r="AF20" s="126">
        <v>45.07</v>
      </c>
      <c r="AG20" s="126">
        <v>81.64</v>
      </c>
      <c r="AH20" s="131">
        <f t="shared" ref="AH20:AH21" si="20">AVERAGE(Z20:AG20)</f>
        <v>65.053333333333327</v>
      </c>
      <c r="AI20" s="341"/>
      <c r="AJ20" s="342"/>
      <c r="AK20" s="342"/>
      <c r="AL20" s="342"/>
      <c r="AM20" s="342"/>
      <c r="AN20" s="342"/>
      <c r="AO20" s="342"/>
      <c r="AP20" s="342"/>
      <c r="AQ20" s="343"/>
      <c r="AR20" s="41">
        <f t="shared" ref="AR20:AR21" si="21">P20-AH20</f>
        <v>-0.82499999999998863</v>
      </c>
      <c r="AS20" s="41">
        <f>STDEV(AW20:BL20)</f>
        <v>2.4089813011086054</v>
      </c>
      <c r="AT20" s="41">
        <f t="shared" ref="AT20:AT21" si="22">Y20-AH20</f>
        <v>-0.44499999999999318</v>
      </c>
      <c r="AU20" s="41">
        <f t="shared" ref="AU20:AU21" si="23">STDEV(BE20:BL20)</f>
        <v>2.5902644652621873</v>
      </c>
      <c r="AW20" s="54">
        <f t="shared" ref="AW20:AY20" si="24">H20-Z20</f>
        <v>0.22999999999999687</v>
      </c>
      <c r="AX20" s="21">
        <f t="shared" si="24"/>
        <v>0.10999999999999943</v>
      </c>
      <c r="AY20" s="21">
        <f t="shared" si="24"/>
        <v>0.73999999999999488</v>
      </c>
      <c r="BB20" s="21">
        <f t="shared" ref="BB20:BD20" si="25">M20-AE20</f>
        <v>-1.0799999999999983</v>
      </c>
      <c r="BC20" s="21">
        <f t="shared" si="25"/>
        <v>-5.6300000000000026</v>
      </c>
      <c r="BD20" s="134">
        <f t="shared" si="25"/>
        <v>0.67999999999999261</v>
      </c>
      <c r="BE20" s="21">
        <f t="shared" ref="BE20:BG20" si="26">Q20-Z20</f>
        <v>0.71000000000000085</v>
      </c>
      <c r="BF20" s="21">
        <f t="shared" si="26"/>
        <v>-0.34000000000000341</v>
      </c>
      <c r="BG20" s="21">
        <f t="shared" si="26"/>
        <v>0.97999999999999687</v>
      </c>
      <c r="BJ20" s="21">
        <f t="shared" ref="BJ20:BL20" si="27">V20-AE20</f>
        <v>1.0900000000000034</v>
      </c>
      <c r="BK20" s="21">
        <f t="shared" si="27"/>
        <v>-5.6300000000000026</v>
      </c>
      <c r="BL20" s="57">
        <f t="shared" si="27"/>
        <v>0.51999999999999602</v>
      </c>
    </row>
    <row r="21" spans="1:64" ht="15.75" customHeight="1">
      <c r="A21" s="58" t="s">
        <v>39</v>
      </c>
      <c r="B21" s="135">
        <v>66955010</v>
      </c>
      <c r="C21" s="44">
        <v>64.31</v>
      </c>
      <c r="D21" s="325"/>
      <c r="E21" s="325"/>
      <c r="F21" s="325"/>
      <c r="G21" s="46" t="s">
        <v>95</v>
      </c>
      <c r="H21" s="3">
        <v>51.56</v>
      </c>
      <c r="I21" s="136">
        <v>91.06</v>
      </c>
      <c r="J21" s="136">
        <v>84.56</v>
      </c>
      <c r="K21" s="136">
        <v>85.12</v>
      </c>
      <c r="L21" s="136">
        <v>59.13</v>
      </c>
      <c r="M21" s="136">
        <v>62.45</v>
      </c>
      <c r="N21" s="136">
        <v>56.34</v>
      </c>
      <c r="O21" s="136">
        <v>86.51</v>
      </c>
      <c r="P21" s="137">
        <f t="shared" si="18"/>
        <v>72.091250000000002</v>
      </c>
      <c r="Q21" s="138">
        <v>51.92</v>
      </c>
      <c r="R21" s="138">
        <v>90.48</v>
      </c>
      <c r="S21" s="138">
        <v>85.54</v>
      </c>
      <c r="T21" s="138">
        <v>85.06</v>
      </c>
      <c r="U21" s="138">
        <v>59.45</v>
      </c>
      <c r="V21" s="138">
        <v>60.65</v>
      </c>
      <c r="W21" s="138">
        <v>56.34</v>
      </c>
      <c r="X21" s="138">
        <v>86.42</v>
      </c>
      <c r="Y21" s="139">
        <f t="shared" si="19"/>
        <v>71.982499999999987</v>
      </c>
      <c r="Z21" s="140">
        <v>50.81</v>
      </c>
      <c r="AA21" s="140">
        <v>90.02</v>
      </c>
      <c r="AB21" s="140">
        <v>85.29</v>
      </c>
      <c r="AC21" s="140">
        <v>84.88</v>
      </c>
      <c r="AD21" s="140">
        <v>58.91</v>
      </c>
      <c r="AE21" s="140">
        <v>62.09</v>
      </c>
      <c r="AF21" s="140">
        <v>56.34</v>
      </c>
      <c r="AG21" s="141">
        <v>86.21</v>
      </c>
      <c r="AH21" s="142">
        <f t="shared" si="20"/>
        <v>71.818750000000009</v>
      </c>
      <c r="AI21" s="367"/>
      <c r="AJ21" s="342"/>
      <c r="AK21" s="342"/>
      <c r="AL21" s="342"/>
      <c r="AM21" s="342"/>
      <c r="AN21" s="342"/>
      <c r="AO21" s="342"/>
      <c r="AP21" s="342"/>
      <c r="AQ21" s="343"/>
      <c r="AR21" s="41">
        <f t="shared" si="21"/>
        <v>0.27249999999999375</v>
      </c>
      <c r="AS21" s="41">
        <f>STDEV(AW21:BD21)</f>
        <v>0.52215897962210933</v>
      </c>
      <c r="AT21" s="41">
        <f t="shared" si="22"/>
        <v>0.16374999999997897</v>
      </c>
      <c r="AU21" s="41">
        <f t="shared" si="23"/>
        <v>0.73030204123264986</v>
      </c>
      <c r="AW21" s="54">
        <f t="shared" ref="AW21:BD21" si="28">H21-Z21</f>
        <v>0.75</v>
      </c>
      <c r="AX21" s="21">
        <f t="shared" si="28"/>
        <v>1.0400000000000063</v>
      </c>
      <c r="AY21" s="21">
        <f t="shared" si="28"/>
        <v>-0.73000000000000398</v>
      </c>
      <c r="AZ21" s="21">
        <f t="shared" si="28"/>
        <v>0.24000000000000909</v>
      </c>
      <c r="BA21" s="21">
        <f t="shared" si="28"/>
        <v>0.22000000000000597</v>
      </c>
      <c r="BB21" s="21">
        <f t="shared" si="28"/>
        <v>0.35999999999999943</v>
      </c>
      <c r="BC21" s="21">
        <f t="shared" si="28"/>
        <v>0</v>
      </c>
      <c r="BD21" s="134">
        <f t="shared" si="28"/>
        <v>0.30000000000001137</v>
      </c>
      <c r="BE21" s="21">
        <f t="shared" ref="BE21:BL21" si="29">Q21-Z21</f>
        <v>1.1099999999999994</v>
      </c>
      <c r="BF21" s="21">
        <f t="shared" si="29"/>
        <v>0.46000000000000796</v>
      </c>
      <c r="BG21" s="21">
        <f t="shared" si="29"/>
        <v>0.25</v>
      </c>
      <c r="BH21" s="21">
        <f t="shared" si="29"/>
        <v>0.18000000000000682</v>
      </c>
      <c r="BI21" s="21">
        <f t="shared" si="29"/>
        <v>0.54000000000000625</v>
      </c>
      <c r="BJ21" s="21">
        <f t="shared" si="29"/>
        <v>-1.4400000000000048</v>
      </c>
      <c r="BK21" s="21">
        <f t="shared" si="29"/>
        <v>0</v>
      </c>
      <c r="BL21" s="57">
        <f t="shared" si="29"/>
        <v>0.21000000000000796</v>
      </c>
    </row>
    <row r="22" spans="1:64" ht="15.75" customHeight="1">
      <c r="A22" s="143"/>
      <c r="B22" s="144"/>
      <c r="C22" s="114"/>
      <c r="D22" s="115"/>
      <c r="E22" s="116"/>
      <c r="F22" s="117"/>
      <c r="G22" s="118"/>
      <c r="H22" s="119" t="s">
        <v>50</v>
      </c>
      <c r="I22" s="119" t="s">
        <v>54</v>
      </c>
      <c r="J22" s="119" t="s">
        <v>53</v>
      </c>
      <c r="K22" s="119" t="s">
        <v>52</v>
      </c>
      <c r="L22" s="119" t="s">
        <v>56</v>
      </c>
      <c r="M22" s="119" t="s">
        <v>43</v>
      </c>
      <c r="N22" s="119" t="s">
        <v>51</v>
      </c>
      <c r="O22" s="119" t="s">
        <v>55</v>
      </c>
      <c r="P22" s="119"/>
      <c r="Q22" s="119" t="s">
        <v>50</v>
      </c>
      <c r="R22" s="119" t="s">
        <v>54</v>
      </c>
      <c r="S22" s="119" t="s">
        <v>53</v>
      </c>
      <c r="T22" s="119" t="s">
        <v>52</v>
      </c>
      <c r="U22" s="119" t="s">
        <v>56</v>
      </c>
      <c r="V22" s="119" t="s">
        <v>43</v>
      </c>
      <c r="W22" s="119" t="s">
        <v>51</v>
      </c>
      <c r="X22" s="119" t="s">
        <v>55</v>
      </c>
      <c r="Y22" s="119"/>
      <c r="Z22" s="119" t="s">
        <v>50</v>
      </c>
      <c r="AA22" s="119" t="s">
        <v>54</v>
      </c>
      <c r="AB22" s="119" t="s">
        <v>53</v>
      </c>
      <c r="AC22" s="119" t="s">
        <v>52</v>
      </c>
      <c r="AD22" s="119" t="s">
        <v>56</v>
      </c>
      <c r="AE22" s="119" t="s">
        <v>43</v>
      </c>
      <c r="AF22" s="119" t="s">
        <v>51</v>
      </c>
      <c r="AG22" s="119" t="s">
        <v>55</v>
      </c>
      <c r="AH22" s="119"/>
      <c r="AI22" s="366"/>
      <c r="AJ22" s="330"/>
      <c r="AK22" s="330"/>
      <c r="AL22" s="330"/>
      <c r="AM22" s="330"/>
      <c r="AN22" s="330"/>
      <c r="AO22" s="330"/>
      <c r="AP22" s="330"/>
      <c r="AQ22" s="331"/>
      <c r="AR22" s="119"/>
      <c r="AS22" s="119"/>
      <c r="AT22" s="119"/>
      <c r="AU22" s="119"/>
      <c r="AW22" s="111"/>
      <c r="BL22" s="57"/>
    </row>
    <row r="23" spans="1:64" ht="15.75" customHeight="1">
      <c r="A23" s="66" t="s">
        <v>96</v>
      </c>
      <c r="B23" s="34">
        <v>7069016064</v>
      </c>
      <c r="C23" s="35">
        <v>85.44</v>
      </c>
      <c r="D23" s="371" t="s">
        <v>97</v>
      </c>
      <c r="E23" s="360" t="s">
        <v>91</v>
      </c>
      <c r="F23" s="358" t="s">
        <v>88</v>
      </c>
      <c r="G23" s="12" t="s">
        <v>98</v>
      </c>
      <c r="H23" s="121">
        <v>30.29</v>
      </c>
      <c r="I23" s="121">
        <v>64.98</v>
      </c>
      <c r="J23" s="121">
        <v>46.49</v>
      </c>
      <c r="K23" s="121">
        <v>57.22</v>
      </c>
      <c r="L23" s="121">
        <v>72.63</v>
      </c>
      <c r="M23" s="121">
        <v>54.15</v>
      </c>
      <c r="N23" s="121">
        <v>50</v>
      </c>
      <c r="O23" s="121">
        <v>64.72</v>
      </c>
      <c r="P23" s="120">
        <f t="shared" ref="P23:P30" si="30">AVERAGE(H23:O23)</f>
        <v>55.06</v>
      </c>
      <c r="Q23" s="123">
        <v>30.89</v>
      </c>
      <c r="R23" s="123">
        <v>64.900000000000006</v>
      </c>
      <c r="S23" s="123">
        <v>46.48</v>
      </c>
      <c r="T23" s="123">
        <v>57.22</v>
      </c>
      <c r="U23" s="123">
        <v>73.290000000000006</v>
      </c>
      <c r="V23" s="123">
        <v>54.15</v>
      </c>
      <c r="W23" s="123">
        <v>50</v>
      </c>
      <c r="X23" s="123">
        <v>64.17</v>
      </c>
      <c r="Y23" s="125">
        <f t="shared" ref="Y23:Y30" si="31">AVERAGE(Q23:X23)</f>
        <v>55.137500000000003</v>
      </c>
      <c r="Z23" s="126">
        <v>30.03</v>
      </c>
      <c r="AA23" s="126">
        <v>64.31</v>
      </c>
      <c r="AB23" s="126">
        <v>46.2</v>
      </c>
      <c r="AC23" s="145">
        <v>57.14</v>
      </c>
      <c r="AD23" s="126">
        <v>72.58</v>
      </c>
      <c r="AE23" s="146">
        <v>55.6</v>
      </c>
      <c r="AF23" s="146">
        <v>50</v>
      </c>
      <c r="AG23" s="126">
        <v>63.38</v>
      </c>
      <c r="AH23" s="131">
        <f t="shared" ref="AH23:AH30" si="32">AVERAGE(Z23:AG23)</f>
        <v>54.905000000000001</v>
      </c>
      <c r="AI23" s="341"/>
      <c r="AJ23" s="342"/>
      <c r="AK23" s="342"/>
      <c r="AL23" s="342"/>
      <c r="AM23" s="342"/>
      <c r="AN23" s="342"/>
      <c r="AO23" s="342"/>
      <c r="AP23" s="342"/>
      <c r="AQ23" s="343"/>
      <c r="AR23" s="41">
        <f t="shared" ref="AR23:AR30" si="33">P23-AH23</f>
        <v>0.15500000000000114</v>
      </c>
      <c r="AS23" s="41">
        <f t="shared" ref="AS23:AS30" si="34">STDEV(AW23:BD23)</f>
        <v>0.78516604249401578</v>
      </c>
      <c r="AT23" s="41">
        <f t="shared" ref="AT23:AT30" si="35">Y23-AH23</f>
        <v>0.23250000000000171</v>
      </c>
      <c r="AU23" s="41">
        <f t="shared" ref="AU23:AU30" si="36">STDEV(BE23:BL23)</f>
        <v>0.7531600095597234</v>
      </c>
      <c r="AW23" s="111">
        <f t="shared" ref="AW23:BD23" si="37">H23-Z23</f>
        <v>0.25999999999999801</v>
      </c>
      <c r="AX23" s="21">
        <f t="shared" si="37"/>
        <v>0.67000000000000171</v>
      </c>
      <c r="AY23" s="21">
        <f t="shared" si="37"/>
        <v>0.28999999999999915</v>
      </c>
      <c r="AZ23" s="21">
        <f t="shared" si="37"/>
        <v>7.9999999999998295E-2</v>
      </c>
      <c r="BA23" s="21">
        <f t="shared" si="37"/>
        <v>4.9999999999997158E-2</v>
      </c>
      <c r="BB23" s="21">
        <f t="shared" si="37"/>
        <v>-1.4500000000000028</v>
      </c>
      <c r="BC23" s="21">
        <f t="shared" si="37"/>
        <v>0</v>
      </c>
      <c r="BD23" s="134">
        <f t="shared" si="37"/>
        <v>1.3399999999999963</v>
      </c>
      <c r="BE23" s="21">
        <f t="shared" ref="BE23:BL23" si="38">Q23-Z23</f>
        <v>0.85999999999999943</v>
      </c>
      <c r="BF23" s="21">
        <f t="shared" si="38"/>
        <v>0.59000000000000341</v>
      </c>
      <c r="BG23" s="21">
        <f t="shared" si="38"/>
        <v>0.27999999999999403</v>
      </c>
      <c r="BH23" s="21">
        <f t="shared" si="38"/>
        <v>7.9999999999998295E-2</v>
      </c>
      <c r="BI23" s="21">
        <f t="shared" si="38"/>
        <v>0.71000000000000796</v>
      </c>
      <c r="BJ23" s="21">
        <f t="shared" si="38"/>
        <v>-1.4500000000000028</v>
      </c>
      <c r="BK23" s="21">
        <f t="shared" si="38"/>
        <v>0</v>
      </c>
      <c r="BL23" s="57">
        <f t="shared" si="38"/>
        <v>0.78999999999999915</v>
      </c>
    </row>
    <row r="24" spans="1:64" ht="15.75" customHeight="1">
      <c r="A24" s="58" t="s">
        <v>99</v>
      </c>
      <c r="B24" s="135">
        <v>1557611200</v>
      </c>
      <c r="C24" s="44">
        <v>94.67</v>
      </c>
      <c r="D24" s="361"/>
      <c r="E24" s="361"/>
      <c r="F24" s="361"/>
      <c r="G24" s="46" t="s">
        <v>100</v>
      </c>
      <c r="H24" s="147">
        <v>25</v>
      </c>
      <c r="I24" s="147">
        <v>58.29</v>
      </c>
      <c r="J24" s="147">
        <v>40.04</v>
      </c>
      <c r="K24" s="147">
        <v>46.33</v>
      </c>
      <c r="L24" s="147">
        <v>70.84</v>
      </c>
      <c r="M24" s="147">
        <v>52.35</v>
      </c>
      <c r="N24" s="147">
        <v>49.84</v>
      </c>
      <c r="O24" s="147">
        <v>58.33</v>
      </c>
      <c r="P24" s="137">
        <f t="shared" si="30"/>
        <v>50.127499999999991</v>
      </c>
      <c r="Q24" s="148">
        <v>25.09</v>
      </c>
      <c r="R24" s="148">
        <v>58.25</v>
      </c>
      <c r="S24" s="148">
        <v>39.94</v>
      </c>
      <c r="T24" s="148">
        <v>46.84</v>
      </c>
      <c r="U24" s="148">
        <v>70.67</v>
      </c>
      <c r="V24" s="148">
        <v>52.35</v>
      </c>
      <c r="W24" s="148">
        <v>49.53</v>
      </c>
      <c r="X24" s="148">
        <v>58.72</v>
      </c>
      <c r="Y24" s="139">
        <f t="shared" si="31"/>
        <v>50.173750000000013</v>
      </c>
      <c r="Z24" s="149">
        <v>24.91</v>
      </c>
      <c r="AA24" s="149">
        <v>57.53</v>
      </c>
      <c r="AB24" s="149">
        <v>39.79</v>
      </c>
      <c r="AC24" s="150">
        <v>46.51</v>
      </c>
      <c r="AD24" s="149">
        <v>70.78</v>
      </c>
      <c r="AE24" s="149">
        <v>50.18</v>
      </c>
      <c r="AF24" s="149">
        <v>49.06</v>
      </c>
      <c r="AG24" s="149">
        <v>57.85</v>
      </c>
      <c r="AH24" s="142">
        <f t="shared" si="32"/>
        <v>49.576250000000002</v>
      </c>
      <c r="AI24" s="367"/>
      <c r="AJ24" s="342"/>
      <c r="AK24" s="342"/>
      <c r="AL24" s="342"/>
      <c r="AM24" s="342"/>
      <c r="AN24" s="342"/>
      <c r="AO24" s="342"/>
      <c r="AP24" s="342"/>
      <c r="AQ24" s="343"/>
      <c r="AR24" s="41">
        <f t="shared" si="33"/>
        <v>0.55124999999998892</v>
      </c>
      <c r="AS24" s="41">
        <f t="shared" si="34"/>
        <v>0.73687443202449954</v>
      </c>
      <c r="AT24" s="41">
        <f t="shared" si="35"/>
        <v>0.5975000000000108</v>
      </c>
      <c r="AU24" s="41">
        <f t="shared" si="36"/>
        <v>0.70962263613436527</v>
      </c>
      <c r="AW24" s="111">
        <f t="shared" ref="AW24:BD24" si="39">H24-Z24</f>
        <v>8.9999999999999858E-2</v>
      </c>
      <c r="AX24" s="21">
        <f t="shared" si="39"/>
        <v>0.75999999999999801</v>
      </c>
      <c r="AY24" s="21">
        <f t="shared" si="39"/>
        <v>0.25</v>
      </c>
      <c r="AZ24" s="21">
        <f t="shared" si="39"/>
        <v>-0.17999999999999972</v>
      </c>
      <c r="BA24" s="21">
        <f t="shared" si="39"/>
        <v>6.0000000000002274E-2</v>
      </c>
      <c r="BB24" s="21">
        <f t="shared" si="39"/>
        <v>2.1700000000000017</v>
      </c>
      <c r="BC24" s="21">
        <f t="shared" si="39"/>
        <v>0.78000000000000114</v>
      </c>
      <c r="BD24" s="134">
        <f t="shared" si="39"/>
        <v>0.47999999999999687</v>
      </c>
      <c r="BE24" s="21">
        <f t="shared" ref="BE24:BL24" si="40">Q24-Z24</f>
        <v>0.17999999999999972</v>
      </c>
      <c r="BF24" s="21">
        <f t="shared" si="40"/>
        <v>0.71999999999999886</v>
      </c>
      <c r="BG24" s="21">
        <f t="shared" si="40"/>
        <v>0.14999999999999858</v>
      </c>
      <c r="BH24" s="21">
        <f t="shared" si="40"/>
        <v>0.3300000000000054</v>
      </c>
      <c r="BI24" s="21">
        <f t="shared" si="40"/>
        <v>-0.10999999999999943</v>
      </c>
      <c r="BJ24" s="21">
        <f t="shared" si="40"/>
        <v>2.1700000000000017</v>
      </c>
      <c r="BK24" s="21">
        <f t="shared" si="40"/>
        <v>0.46999999999999886</v>
      </c>
      <c r="BL24" s="57">
        <f t="shared" si="40"/>
        <v>0.86999999999999744</v>
      </c>
    </row>
    <row r="25" spans="1:64" ht="15.75" customHeight="1">
      <c r="A25" s="66" t="s">
        <v>49</v>
      </c>
      <c r="B25" s="34">
        <v>12853473280</v>
      </c>
      <c r="C25" s="35">
        <v>97.9</v>
      </c>
      <c r="D25" s="361"/>
      <c r="E25" s="325"/>
      <c r="F25" s="325"/>
      <c r="G25" s="12" t="s">
        <v>104</v>
      </c>
      <c r="H25" s="121">
        <v>32.590000000000003</v>
      </c>
      <c r="I25" s="121">
        <v>66.459999999999994</v>
      </c>
      <c r="J25" s="121">
        <v>52.13</v>
      </c>
      <c r="K25" s="121">
        <v>51.03</v>
      </c>
      <c r="L25" s="120">
        <v>76.28</v>
      </c>
      <c r="M25" s="121">
        <v>57.4</v>
      </c>
      <c r="N25" s="121">
        <v>48.12</v>
      </c>
      <c r="O25" s="121">
        <v>66.849999999999994</v>
      </c>
      <c r="P25" s="120">
        <f t="shared" si="30"/>
        <v>56.357500000000002</v>
      </c>
      <c r="Q25" s="123">
        <v>32.51</v>
      </c>
      <c r="R25" s="123">
        <v>66.459999999999994</v>
      </c>
      <c r="S25" s="123">
        <v>52.14</v>
      </c>
      <c r="T25" s="123">
        <v>51.11</v>
      </c>
      <c r="U25" s="123">
        <v>76.22</v>
      </c>
      <c r="V25" s="123">
        <v>56.32</v>
      </c>
      <c r="W25" s="123">
        <v>48.12</v>
      </c>
      <c r="X25" s="123">
        <v>66.930000000000007</v>
      </c>
      <c r="Y25" s="125">
        <f t="shared" si="31"/>
        <v>56.226250000000007</v>
      </c>
      <c r="Z25" s="126">
        <v>33.11</v>
      </c>
      <c r="AA25" s="126">
        <v>66.040000000000006</v>
      </c>
      <c r="AB25" s="126">
        <v>51.83</v>
      </c>
      <c r="AC25" s="145">
        <v>51.73</v>
      </c>
      <c r="AD25" s="126">
        <v>75.73</v>
      </c>
      <c r="AE25" s="146">
        <v>54.51</v>
      </c>
      <c r="AF25" s="146">
        <v>49.84</v>
      </c>
      <c r="AG25" s="126">
        <v>66.69</v>
      </c>
      <c r="AH25" s="131">
        <f t="shared" si="32"/>
        <v>56.184999999999995</v>
      </c>
      <c r="AI25" s="341"/>
      <c r="AJ25" s="342"/>
      <c r="AK25" s="342"/>
      <c r="AL25" s="342"/>
      <c r="AM25" s="342"/>
      <c r="AN25" s="342"/>
      <c r="AO25" s="342"/>
      <c r="AP25" s="342"/>
      <c r="AQ25" s="343"/>
      <c r="AR25" s="41">
        <f t="shared" si="33"/>
        <v>0.17250000000000654</v>
      </c>
      <c r="AS25" s="41">
        <f t="shared" si="34"/>
        <v>1.3324172448169962</v>
      </c>
      <c r="AT25" s="41">
        <f t="shared" si="35"/>
        <v>4.1250000000012221E-2</v>
      </c>
      <c r="AU25" s="41">
        <f t="shared" si="36"/>
        <v>1.0375443191910969</v>
      </c>
      <c r="AW25" s="111">
        <f t="shared" ref="AW25:BD25" si="41">H25-Z25</f>
        <v>-0.51999999999999602</v>
      </c>
      <c r="AX25" s="21">
        <f t="shared" si="41"/>
        <v>0.41999999999998749</v>
      </c>
      <c r="AY25" s="21">
        <f t="shared" si="41"/>
        <v>0.30000000000000426</v>
      </c>
      <c r="AZ25" s="21">
        <f t="shared" si="41"/>
        <v>-0.69999999999999574</v>
      </c>
      <c r="BA25" s="56">
        <f t="shared" si="41"/>
        <v>0.54999999999999716</v>
      </c>
      <c r="BB25" s="21">
        <f t="shared" si="41"/>
        <v>2.8900000000000006</v>
      </c>
      <c r="BC25" s="21">
        <f t="shared" si="41"/>
        <v>-1.720000000000006</v>
      </c>
      <c r="BD25" s="134">
        <f t="shared" si="41"/>
        <v>0.15999999999999659</v>
      </c>
      <c r="BE25" s="21">
        <f t="shared" ref="BE25:BL25" si="42">Q25-Z25</f>
        <v>-0.60000000000000142</v>
      </c>
      <c r="BF25" s="21">
        <f t="shared" si="42"/>
        <v>0.41999999999998749</v>
      </c>
      <c r="BG25" s="21">
        <f t="shared" si="42"/>
        <v>0.31000000000000227</v>
      </c>
      <c r="BH25" s="21">
        <f t="shared" si="42"/>
        <v>-0.61999999999999744</v>
      </c>
      <c r="BI25" s="21">
        <f t="shared" si="42"/>
        <v>0.48999999999999488</v>
      </c>
      <c r="BJ25" s="21">
        <f t="shared" si="42"/>
        <v>1.8100000000000023</v>
      </c>
      <c r="BK25" s="21">
        <f t="shared" si="42"/>
        <v>-1.720000000000006</v>
      </c>
      <c r="BL25" s="57">
        <f t="shared" si="42"/>
        <v>0.24000000000000909</v>
      </c>
    </row>
    <row r="26" spans="1:64" ht="15.75" customHeight="1">
      <c r="A26" s="58" t="s">
        <v>107</v>
      </c>
      <c r="B26" s="43">
        <v>1372178432</v>
      </c>
      <c r="C26" s="44">
        <v>90.32</v>
      </c>
      <c r="D26" s="361"/>
      <c r="E26" s="45" t="s">
        <v>108</v>
      </c>
      <c r="F26" s="106" t="s">
        <v>92</v>
      </c>
      <c r="G26" s="46" t="s">
        <v>109</v>
      </c>
      <c r="H26" s="154">
        <v>29.78</v>
      </c>
      <c r="I26" s="154">
        <v>65.53</v>
      </c>
      <c r="J26" s="154">
        <v>45.05</v>
      </c>
      <c r="K26" s="154">
        <v>54.97</v>
      </c>
      <c r="L26" s="154">
        <v>74.16</v>
      </c>
      <c r="M26" s="154">
        <v>48.01</v>
      </c>
      <c r="N26" s="154">
        <v>49.69</v>
      </c>
      <c r="O26" s="154">
        <v>61.4</v>
      </c>
      <c r="P26" s="120">
        <f t="shared" si="30"/>
        <v>53.573749999999997</v>
      </c>
      <c r="Q26" s="155">
        <v>30.2</v>
      </c>
      <c r="R26" s="155">
        <v>65.45</v>
      </c>
      <c r="S26" s="157">
        <v>44.9</v>
      </c>
      <c r="T26" s="157">
        <v>54.6</v>
      </c>
      <c r="U26" s="157">
        <v>73.5</v>
      </c>
      <c r="V26" s="157">
        <v>50.54</v>
      </c>
      <c r="W26" s="157">
        <v>49.53</v>
      </c>
      <c r="X26" s="157">
        <v>59.04</v>
      </c>
      <c r="Y26" s="125">
        <f t="shared" si="31"/>
        <v>53.470000000000006</v>
      </c>
      <c r="Z26" s="158">
        <v>29.86</v>
      </c>
      <c r="AA26" s="158">
        <v>63.8</v>
      </c>
      <c r="AB26" s="158">
        <v>44.53</v>
      </c>
      <c r="AC26" s="158">
        <v>50.78</v>
      </c>
      <c r="AD26" s="158">
        <v>73.23</v>
      </c>
      <c r="AE26" s="158">
        <v>48.38</v>
      </c>
      <c r="AF26" s="158">
        <v>49.06</v>
      </c>
      <c r="AG26" s="158">
        <v>59.35</v>
      </c>
      <c r="AH26" s="131">
        <f t="shared" si="32"/>
        <v>52.373750000000001</v>
      </c>
      <c r="AI26" s="365"/>
      <c r="AJ26" s="342"/>
      <c r="AK26" s="342"/>
      <c r="AL26" s="342"/>
      <c r="AM26" s="342"/>
      <c r="AN26" s="342"/>
      <c r="AO26" s="342"/>
      <c r="AP26" s="342"/>
      <c r="AQ26" s="343"/>
      <c r="AR26" s="41">
        <f t="shared" si="33"/>
        <v>1.1999999999999957</v>
      </c>
      <c r="AS26" s="41">
        <f t="shared" si="34"/>
        <v>1.4593051183941725</v>
      </c>
      <c r="AT26" s="41">
        <f t="shared" si="35"/>
        <v>1.0962500000000048</v>
      </c>
      <c r="AU26" s="41">
        <f t="shared" si="36"/>
        <v>1.3632308000796185</v>
      </c>
      <c r="AW26" s="111">
        <f t="shared" ref="AW26:BD26" si="43">H26-Z26</f>
        <v>-7.9999999999998295E-2</v>
      </c>
      <c r="AX26" s="21">
        <f t="shared" si="43"/>
        <v>1.730000000000004</v>
      </c>
      <c r="AY26" s="21">
        <f t="shared" si="43"/>
        <v>0.51999999999999602</v>
      </c>
      <c r="AZ26" s="21">
        <f t="shared" si="43"/>
        <v>4.1899999999999977</v>
      </c>
      <c r="BA26" s="21">
        <f t="shared" si="43"/>
        <v>0.92999999999999261</v>
      </c>
      <c r="BB26" s="21">
        <f t="shared" si="43"/>
        <v>-0.37000000000000455</v>
      </c>
      <c r="BC26" s="21">
        <f t="shared" si="43"/>
        <v>0.62999999999999545</v>
      </c>
      <c r="BD26" s="134">
        <f t="shared" si="43"/>
        <v>2.0499999999999972</v>
      </c>
      <c r="BE26" s="21">
        <f t="shared" ref="BE26:BL26" si="44">Q26-Z26</f>
        <v>0.33999999999999986</v>
      </c>
      <c r="BF26" s="21">
        <f t="shared" si="44"/>
        <v>1.6500000000000057</v>
      </c>
      <c r="BG26" s="21">
        <f t="shared" si="44"/>
        <v>0.36999999999999744</v>
      </c>
      <c r="BH26" s="21">
        <f t="shared" si="44"/>
        <v>3.8200000000000003</v>
      </c>
      <c r="BI26" s="21">
        <f t="shared" si="44"/>
        <v>0.26999999999999602</v>
      </c>
      <c r="BJ26" s="21">
        <f t="shared" si="44"/>
        <v>2.1599999999999966</v>
      </c>
      <c r="BK26" s="21">
        <f t="shared" si="44"/>
        <v>0.46999999999999886</v>
      </c>
      <c r="BL26" s="57">
        <f t="shared" si="44"/>
        <v>-0.31000000000000227</v>
      </c>
    </row>
    <row r="27" spans="1:64" ht="15.75" customHeight="1">
      <c r="A27" s="66" t="s">
        <v>113</v>
      </c>
      <c r="B27" s="34">
        <v>3029337472</v>
      </c>
      <c r="C27" s="35">
        <v>94.36</v>
      </c>
      <c r="D27" s="361"/>
      <c r="E27" s="360" t="s">
        <v>114</v>
      </c>
      <c r="F27" s="358" t="s">
        <v>88</v>
      </c>
      <c r="G27" s="12" t="s">
        <v>115</v>
      </c>
      <c r="H27" s="160">
        <v>53.58</v>
      </c>
      <c r="I27" s="160">
        <v>82.45</v>
      </c>
      <c r="J27" s="160">
        <v>55.98</v>
      </c>
      <c r="K27" s="160">
        <v>31.46</v>
      </c>
      <c r="L27" s="160">
        <v>77.48</v>
      </c>
      <c r="M27" s="160">
        <v>70.400000000000006</v>
      </c>
      <c r="N27" s="160">
        <v>51.25</v>
      </c>
      <c r="O27" s="160">
        <v>70.959999999999994</v>
      </c>
      <c r="P27" s="120">
        <f t="shared" si="30"/>
        <v>61.695</v>
      </c>
      <c r="Q27" s="161">
        <v>53.75</v>
      </c>
      <c r="R27" s="161">
        <v>82.03</v>
      </c>
      <c r="S27" s="161">
        <v>55.72</v>
      </c>
      <c r="T27" s="161">
        <v>32.979999999999997</v>
      </c>
      <c r="U27" s="161">
        <v>77.42</v>
      </c>
      <c r="V27" s="161">
        <v>69.31</v>
      </c>
      <c r="W27" s="161">
        <v>51.57</v>
      </c>
      <c r="X27" s="161">
        <v>70.319999999999993</v>
      </c>
      <c r="Y27" s="125">
        <f t="shared" si="31"/>
        <v>61.637499999999996</v>
      </c>
      <c r="Z27" s="162">
        <v>50.68</v>
      </c>
      <c r="AA27" s="162">
        <v>81.44</v>
      </c>
      <c r="AB27" s="162">
        <v>55.06</v>
      </c>
      <c r="AC27" s="162">
        <v>39.44</v>
      </c>
      <c r="AD27" s="162">
        <v>77.040000000000006</v>
      </c>
      <c r="AE27" s="162">
        <v>71.48</v>
      </c>
      <c r="AF27" s="162">
        <v>50.31</v>
      </c>
      <c r="AG27" s="162">
        <v>70.64</v>
      </c>
      <c r="AH27" s="131">
        <f t="shared" si="32"/>
        <v>62.011250000000004</v>
      </c>
      <c r="AI27" s="341"/>
      <c r="AJ27" s="342"/>
      <c r="AK27" s="342"/>
      <c r="AL27" s="342"/>
      <c r="AM27" s="342"/>
      <c r="AN27" s="342"/>
      <c r="AO27" s="342"/>
      <c r="AP27" s="342"/>
      <c r="AQ27" s="343"/>
      <c r="AR27" s="41">
        <f t="shared" si="33"/>
        <v>-0.31625000000000369</v>
      </c>
      <c r="AS27" s="41">
        <f t="shared" si="34"/>
        <v>3.2842217495169215</v>
      </c>
      <c r="AT27" s="41">
        <f t="shared" si="35"/>
        <v>-0.37375000000000824</v>
      </c>
      <c r="AU27" s="41">
        <f t="shared" si="36"/>
        <v>2.8627156812070202</v>
      </c>
      <c r="AW27" s="111">
        <f t="shared" ref="AW27:BD27" si="45">H27-Z27</f>
        <v>2.8999999999999986</v>
      </c>
      <c r="AX27" s="21">
        <f t="shared" si="45"/>
        <v>1.0100000000000051</v>
      </c>
      <c r="AY27" s="21">
        <f t="shared" si="45"/>
        <v>0.9199999999999946</v>
      </c>
      <c r="AZ27" s="21">
        <f t="shared" si="45"/>
        <v>-7.9799999999999969</v>
      </c>
      <c r="BA27" s="21">
        <f t="shared" si="45"/>
        <v>0.43999999999999773</v>
      </c>
      <c r="BB27" s="21">
        <f t="shared" si="45"/>
        <v>-1.0799999999999983</v>
      </c>
      <c r="BC27" s="21">
        <f t="shared" si="45"/>
        <v>0.93999999999999773</v>
      </c>
      <c r="BD27" s="134">
        <f t="shared" si="45"/>
        <v>0.31999999999999318</v>
      </c>
      <c r="BE27" s="21">
        <f t="shared" ref="BE27:BL27" si="46">Q27-Z27</f>
        <v>3.0700000000000003</v>
      </c>
      <c r="BF27" s="21">
        <f t="shared" si="46"/>
        <v>0.59000000000000341</v>
      </c>
      <c r="BG27" s="21">
        <f t="shared" si="46"/>
        <v>0.65999999999999659</v>
      </c>
      <c r="BH27" s="21">
        <f t="shared" si="46"/>
        <v>-6.4600000000000009</v>
      </c>
      <c r="BI27" s="21">
        <f t="shared" si="46"/>
        <v>0.37999999999999545</v>
      </c>
      <c r="BJ27" s="21">
        <f t="shared" si="46"/>
        <v>-2.1700000000000017</v>
      </c>
      <c r="BK27" s="21">
        <f t="shared" si="46"/>
        <v>1.259999999999998</v>
      </c>
      <c r="BL27" s="57">
        <f t="shared" si="46"/>
        <v>-0.32000000000000739</v>
      </c>
    </row>
    <row r="28" spans="1:64" ht="15.75" customHeight="1">
      <c r="A28" s="58" t="s">
        <v>118</v>
      </c>
      <c r="B28" s="43">
        <v>1006370816</v>
      </c>
      <c r="C28" s="44">
        <v>82.82</v>
      </c>
      <c r="D28" s="361"/>
      <c r="E28" s="325"/>
      <c r="F28" s="325"/>
      <c r="G28" s="46" t="s">
        <v>119</v>
      </c>
      <c r="H28" s="167">
        <v>43.34</v>
      </c>
      <c r="I28" s="167">
        <v>76.430000000000007</v>
      </c>
      <c r="J28" s="167">
        <v>53.2</v>
      </c>
      <c r="K28" s="167">
        <v>56.99</v>
      </c>
      <c r="L28" s="167">
        <v>77.42</v>
      </c>
      <c r="M28" s="167">
        <v>68.95</v>
      </c>
      <c r="N28" s="167">
        <v>53.13</v>
      </c>
      <c r="O28" s="167">
        <v>68.430000000000007</v>
      </c>
      <c r="P28" s="120">
        <f t="shared" si="30"/>
        <v>62.236250000000005</v>
      </c>
      <c r="Q28" s="168">
        <v>43.43</v>
      </c>
      <c r="R28" s="168">
        <v>76.14</v>
      </c>
      <c r="S28" s="168">
        <v>53.1</v>
      </c>
      <c r="T28" s="168">
        <v>57.1</v>
      </c>
      <c r="U28" s="168">
        <v>77.260000000000005</v>
      </c>
      <c r="V28" s="168">
        <v>68.59</v>
      </c>
      <c r="W28" s="168">
        <v>52.04</v>
      </c>
      <c r="X28" s="168">
        <v>69.22</v>
      </c>
      <c r="Y28" s="125">
        <f t="shared" si="31"/>
        <v>62.11</v>
      </c>
      <c r="Z28" s="140">
        <v>42.49</v>
      </c>
      <c r="AA28" s="140">
        <v>75.84</v>
      </c>
      <c r="AB28" s="140">
        <v>52.09</v>
      </c>
      <c r="AC28" s="140">
        <v>57.14</v>
      </c>
      <c r="AD28" s="140">
        <v>76.709999999999994</v>
      </c>
      <c r="AE28" s="140">
        <v>68.59</v>
      </c>
      <c r="AF28" s="140">
        <v>51.1</v>
      </c>
      <c r="AG28" s="140">
        <v>67.400000000000006</v>
      </c>
      <c r="AH28" s="131">
        <f t="shared" si="32"/>
        <v>61.42</v>
      </c>
      <c r="AI28" s="365"/>
      <c r="AJ28" s="342"/>
      <c r="AK28" s="342"/>
      <c r="AL28" s="342"/>
      <c r="AM28" s="342"/>
      <c r="AN28" s="342"/>
      <c r="AO28" s="342"/>
      <c r="AP28" s="342"/>
      <c r="AQ28" s="343"/>
      <c r="AR28" s="41">
        <f t="shared" si="33"/>
        <v>0.81625000000000369</v>
      </c>
      <c r="AS28" s="41">
        <f t="shared" si="34"/>
        <v>0.63365014006153231</v>
      </c>
      <c r="AT28" s="41">
        <f t="shared" si="35"/>
        <v>0.68999999999999773</v>
      </c>
      <c r="AU28" s="41">
        <f t="shared" si="36"/>
        <v>0.61933143676986524</v>
      </c>
      <c r="AW28" s="111">
        <f t="shared" ref="AW28:BD28" si="47">H28-Z28</f>
        <v>0.85000000000000142</v>
      </c>
      <c r="AX28" s="21">
        <f t="shared" si="47"/>
        <v>0.59000000000000341</v>
      </c>
      <c r="AY28" s="21">
        <f t="shared" si="47"/>
        <v>1.1099999999999994</v>
      </c>
      <c r="AZ28" s="21">
        <f t="shared" si="47"/>
        <v>-0.14999999999999858</v>
      </c>
      <c r="BA28" s="21">
        <f t="shared" si="47"/>
        <v>0.71000000000000796</v>
      </c>
      <c r="BB28" s="21">
        <f t="shared" si="47"/>
        <v>0.35999999999999943</v>
      </c>
      <c r="BC28" s="21">
        <f t="shared" si="47"/>
        <v>2.0300000000000011</v>
      </c>
      <c r="BD28" s="134">
        <f t="shared" si="47"/>
        <v>1.0300000000000011</v>
      </c>
      <c r="BE28" s="21">
        <f t="shared" ref="BE28:BL28" si="48">Q28-Z28</f>
        <v>0.93999999999999773</v>
      </c>
      <c r="BF28" s="21">
        <f t="shared" si="48"/>
        <v>0.29999999999999716</v>
      </c>
      <c r="BG28" s="21">
        <f t="shared" si="48"/>
        <v>1.009999999999998</v>
      </c>
      <c r="BH28" s="21">
        <f t="shared" si="48"/>
        <v>-3.9999999999999147E-2</v>
      </c>
      <c r="BI28" s="21">
        <f t="shared" si="48"/>
        <v>0.55000000000001137</v>
      </c>
      <c r="BJ28" s="21">
        <f t="shared" si="48"/>
        <v>0</v>
      </c>
      <c r="BK28" s="21">
        <f t="shared" si="48"/>
        <v>0.93999999999999773</v>
      </c>
      <c r="BL28" s="57">
        <f t="shared" si="48"/>
        <v>1.8199999999999932</v>
      </c>
    </row>
    <row r="29" spans="1:64" ht="15.75" customHeight="1">
      <c r="A29" s="66" t="s">
        <v>123</v>
      </c>
      <c r="B29" s="34">
        <v>144741120</v>
      </c>
      <c r="C29" s="35">
        <v>97.81</v>
      </c>
      <c r="D29" s="361"/>
      <c r="E29" s="368" t="s">
        <v>124</v>
      </c>
      <c r="F29" s="369" t="s">
        <v>92</v>
      </c>
      <c r="G29" s="12" t="s">
        <v>127</v>
      </c>
      <c r="H29" s="160">
        <v>19.37</v>
      </c>
      <c r="I29" s="160">
        <v>29.63</v>
      </c>
      <c r="J29" s="160">
        <v>27.58</v>
      </c>
      <c r="K29" s="160">
        <v>54.48</v>
      </c>
      <c r="L29" s="160">
        <v>56.47</v>
      </c>
      <c r="M29" s="160">
        <v>49.1</v>
      </c>
      <c r="N29" s="160">
        <v>50.31</v>
      </c>
      <c r="O29" s="160">
        <v>50.67</v>
      </c>
      <c r="P29" s="120">
        <f t="shared" si="30"/>
        <v>42.201250000000002</v>
      </c>
      <c r="Q29" s="161">
        <v>19.45</v>
      </c>
      <c r="R29" s="161">
        <v>29.76</v>
      </c>
      <c r="S29" s="161">
        <v>27.44</v>
      </c>
      <c r="T29" s="161">
        <v>55.42</v>
      </c>
      <c r="U29" s="161">
        <v>56.58</v>
      </c>
      <c r="V29" s="161">
        <v>50.18</v>
      </c>
      <c r="W29" s="161">
        <v>48.59</v>
      </c>
      <c r="X29" s="161">
        <v>50.12</v>
      </c>
      <c r="Y29" s="125">
        <f t="shared" si="31"/>
        <v>42.192499999999995</v>
      </c>
      <c r="Z29" s="170">
        <v>19.8</v>
      </c>
      <c r="AA29" s="170">
        <v>29.42</v>
      </c>
      <c r="AB29" s="162">
        <v>27.33</v>
      </c>
      <c r="AC29" s="162">
        <v>57.16</v>
      </c>
      <c r="AD29" s="162">
        <v>55.6</v>
      </c>
      <c r="AE29" s="162">
        <v>49.46</v>
      </c>
      <c r="AF29" s="162">
        <v>49.22</v>
      </c>
      <c r="AG29" s="162">
        <v>50.75</v>
      </c>
      <c r="AH29" s="131">
        <f t="shared" si="32"/>
        <v>42.342500000000001</v>
      </c>
      <c r="AI29" s="341"/>
      <c r="AJ29" s="342"/>
      <c r="AK29" s="342"/>
      <c r="AL29" s="342"/>
      <c r="AM29" s="342"/>
      <c r="AN29" s="342"/>
      <c r="AO29" s="342"/>
      <c r="AP29" s="342"/>
      <c r="AQ29" s="343"/>
      <c r="AR29" s="41">
        <f t="shared" si="33"/>
        <v>-0.14124999999999943</v>
      </c>
      <c r="AS29" s="41">
        <f t="shared" si="34"/>
        <v>1.158526619707734</v>
      </c>
      <c r="AT29" s="41">
        <f t="shared" si="35"/>
        <v>-0.15000000000000568</v>
      </c>
      <c r="AU29" s="41">
        <f t="shared" si="36"/>
        <v>0.87589953761832551</v>
      </c>
      <c r="AW29" s="111">
        <f t="shared" ref="AW29:BD29" si="49">H29-Z29</f>
        <v>-0.42999999999999972</v>
      </c>
      <c r="AX29" s="21">
        <f t="shared" si="49"/>
        <v>0.2099999999999973</v>
      </c>
      <c r="AY29" s="21">
        <f t="shared" si="49"/>
        <v>0.25</v>
      </c>
      <c r="AZ29" s="21">
        <f t="shared" si="49"/>
        <v>-2.6799999999999997</v>
      </c>
      <c r="BA29" s="21">
        <f t="shared" si="49"/>
        <v>0.86999999999999744</v>
      </c>
      <c r="BB29" s="21">
        <f t="shared" si="49"/>
        <v>-0.35999999999999943</v>
      </c>
      <c r="BC29" s="21">
        <f t="shared" si="49"/>
        <v>1.0900000000000034</v>
      </c>
      <c r="BD29" s="134">
        <f t="shared" si="49"/>
        <v>-7.9999999999998295E-2</v>
      </c>
      <c r="BE29" s="21">
        <f t="shared" ref="BE29:BL29" si="50">Q29-Z29</f>
        <v>-0.35000000000000142</v>
      </c>
      <c r="BF29" s="21">
        <f t="shared" si="50"/>
        <v>0.33999999999999986</v>
      </c>
      <c r="BG29" s="21">
        <f t="shared" si="50"/>
        <v>0.11000000000000298</v>
      </c>
      <c r="BH29" s="21">
        <f t="shared" si="50"/>
        <v>-1.7399999999999949</v>
      </c>
      <c r="BI29" s="21">
        <f t="shared" si="50"/>
        <v>0.97999999999999687</v>
      </c>
      <c r="BJ29" s="21">
        <f t="shared" si="50"/>
        <v>0.71999999999999886</v>
      </c>
      <c r="BK29" s="21">
        <f t="shared" si="50"/>
        <v>-0.62999999999999545</v>
      </c>
      <c r="BL29" s="57">
        <f t="shared" si="50"/>
        <v>-0.63000000000000256</v>
      </c>
    </row>
    <row r="30" spans="1:64" ht="15.75" customHeight="1">
      <c r="A30" s="58" t="s">
        <v>132</v>
      </c>
      <c r="B30" s="43">
        <v>8547847680</v>
      </c>
      <c r="C30" s="44">
        <v>87.24</v>
      </c>
      <c r="D30" s="325"/>
      <c r="E30" s="325"/>
      <c r="F30" s="325"/>
      <c r="G30" s="46" t="s">
        <v>133</v>
      </c>
      <c r="H30" s="3">
        <v>51.62</v>
      </c>
      <c r="I30" s="3">
        <v>81.36</v>
      </c>
      <c r="J30" s="3">
        <v>60.23</v>
      </c>
      <c r="K30" s="3">
        <v>16.79</v>
      </c>
      <c r="L30" s="3">
        <v>78.94</v>
      </c>
      <c r="M30" s="3">
        <v>76.17</v>
      </c>
      <c r="N30" s="3">
        <v>57.99</v>
      </c>
      <c r="O30" s="3">
        <v>70.88</v>
      </c>
      <c r="P30" s="120">
        <f t="shared" si="30"/>
        <v>61.747499999999995</v>
      </c>
      <c r="Q30" s="138">
        <v>51.45</v>
      </c>
      <c r="R30" s="138">
        <v>81.31</v>
      </c>
      <c r="S30" s="138">
        <v>59.87</v>
      </c>
      <c r="T30" s="138">
        <v>19.25</v>
      </c>
      <c r="U30" s="138">
        <v>79.489999999999995</v>
      </c>
      <c r="V30" s="138">
        <v>76.53</v>
      </c>
      <c r="W30" s="138">
        <v>57.84</v>
      </c>
      <c r="X30" s="138">
        <v>69.930000000000007</v>
      </c>
      <c r="Y30" s="125">
        <f t="shared" si="31"/>
        <v>61.958750000000002</v>
      </c>
      <c r="Z30" s="140">
        <v>52.05</v>
      </c>
      <c r="AA30" s="140">
        <v>80.72</v>
      </c>
      <c r="AB30" s="173">
        <v>59.12</v>
      </c>
      <c r="AC30" s="173">
        <v>19.29</v>
      </c>
      <c r="AD30" s="173">
        <v>79.38</v>
      </c>
      <c r="AE30" s="173">
        <v>75.45</v>
      </c>
      <c r="AF30" s="173">
        <v>57.37</v>
      </c>
      <c r="AG30" s="173">
        <v>70.64</v>
      </c>
      <c r="AH30" s="131">
        <f t="shared" si="32"/>
        <v>61.752499999999991</v>
      </c>
      <c r="AI30" s="365"/>
      <c r="AJ30" s="342"/>
      <c r="AK30" s="342"/>
      <c r="AL30" s="342"/>
      <c r="AM30" s="342"/>
      <c r="AN30" s="342"/>
      <c r="AO30" s="342"/>
      <c r="AP30" s="342"/>
      <c r="AQ30" s="343"/>
      <c r="AR30" s="41">
        <f t="shared" si="33"/>
        <v>-4.9999999999954525E-3</v>
      </c>
      <c r="AS30" s="41">
        <f t="shared" si="34"/>
        <v>1.1483155365266862</v>
      </c>
      <c r="AT30" s="41">
        <f t="shared" si="35"/>
        <v>0.20625000000001137</v>
      </c>
      <c r="AU30" s="41">
        <f t="shared" si="36"/>
        <v>0.63643959426080221</v>
      </c>
      <c r="AW30" s="54">
        <f t="shared" ref="AW30:BD30" si="51">H30-Z30</f>
        <v>-0.42999999999999972</v>
      </c>
      <c r="AX30" s="56">
        <f t="shared" si="51"/>
        <v>0.64000000000000057</v>
      </c>
      <c r="AY30" s="56">
        <f t="shared" si="51"/>
        <v>1.1099999999999994</v>
      </c>
      <c r="AZ30" s="56">
        <f t="shared" si="51"/>
        <v>-2.5</v>
      </c>
      <c r="BA30" s="56">
        <f t="shared" si="51"/>
        <v>-0.43999999999999773</v>
      </c>
      <c r="BB30" s="56">
        <f t="shared" si="51"/>
        <v>0.71999999999999886</v>
      </c>
      <c r="BC30" s="56">
        <f t="shared" si="51"/>
        <v>0.62000000000000455</v>
      </c>
      <c r="BD30" s="55">
        <f t="shared" si="51"/>
        <v>0.23999999999999488</v>
      </c>
      <c r="BE30" s="21">
        <f t="shared" ref="BE30:BL30" si="52">Q30-Z30</f>
        <v>-0.59999999999999432</v>
      </c>
      <c r="BF30" s="21">
        <f t="shared" si="52"/>
        <v>0.59000000000000341</v>
      </c>
      <c r="BG30" s="21">
        <f t="shared" si="52"/>
        <v>0.75</v>
      </c>
      <c r="BH30" s="21">
        <f t="shared" si="52"/>
        <v>-3.9999999999999147E-2</v>
      </c>
      <c r="BI30" s="21">
        <f t="shared" si="52"/>
        <v>0.10999999999999943</v>
      </c>
      <c r="BJ30" s="21">
        <f t="shared" si="52"/>
        <v>1.0799999999999983</v>
      </c>
      <c r="BK30" s="21">
        <f t="shared" si="52"/>
        <v>0.47000000000000597</v>
      </c>
      <c r="BL30" s="57">
        <f t="shared" si="52"/>
        <v>-0.70999999999999375</v>
      </c>
    </row>
    <row r="31" spans="1:64" ht="15.75" customHeight="1">
      <c r="A31" s="143"/>
      <c r="B31" s="144"/>
      <c r="C31" s="114"/>
      <c r="D31" s="115"/>
      <c r="E31" s="116"/>
      <c r="F31" s="117"/>
      <c r="G31" s="118"/>
      <c r="H31" s="119" t="s">
        <v>137</v>
      </c>
      <c r="I31" s="176" t="s">
        <v>138</v>
      </c>
      <c r="J31" s="176" t="s">
        <v>139</v>
      </c>
      <c r="K31" s="119" t="s">
        <v>140</v>
      </c>
      <c r="L31" s="176" t="s">
        <v>141</v>
      </c>
      <c r="M31" s="370"/>
      <c r="N31" s="330"/>
      <c r="O31" s="331"/>
      <c r="P31" s="119"/>
      <c r="Q31" s="119" t="s">
        <v>137</v>
      </c>
      <c r="R31" s="176" t="s">
        <v>138</v>
      </c>
      <c r="S31" s="176" t="s">
        <v>139</v>
      </c>
      <c r="T31" s="119" t="s">
        <v>140</v>
      </c>
      <c r="U31" s="176" t="s">
        <v>141</v>
      </c>
      <c r="V31" s="370"/>
      <c r="W31" s="330"/>
      <c r="X31" s="331"/>
      <c r="Y31" s="119"/>
      <c r="Z31" s="119" t="s">
        <v>137</v>
      </c>
      <c r="AA31" s="30" t="s">
        <v>138</v>
      </c>
      <c r="AB31" s="176" t="s">
        <v>139</v>
      </c>
      <c r="AC31" s="119" t="s">
        <v>140</v>
      </c>
      <c r="AD31" s="176" t="s">
        <v>141</v>
      </c>
      <c r="AE31" s="366"/>
      <c r="AF31" s="330"/>
      <c r="AG31" s="330"/>
      <c r="AH31" s="119"/>
      <c r="AI31" s="366"/>
      <c r="AJ31" s="330"/>
      <c r="AK31" s="330"/>
      <c r="AL31" s="330"/>
      <c r="AM31" s="330"/>
      <c r="AN31" s="330"/>
      <c r="AO31" s="330"/>
      <c r="AP31" s="330"/>
      <c r="AQ31" s="331"/>
      <c r="AR31" s="119"/>
      <c r="AS31" s="119"/>
      <c r="AT31" s="119"/>
      <c r="AU31" s="119"/>
      <c r="AW31" s="111"/>
      <c r="BL31" s="57"/>
    </row>
    <row r="32" spans="1:64" ht="15.75" customHeight="1">
      <c r="A32" s="66" t="s">
        <v>144</v>
      </c>
      <c r="B32" s="34">
        <v>964845850</v>
      </c>
      <c r="C32" s="35">
        <v>98.08</v>
      </c>
      <c r="D32" s="371" t="s">
        <v>97</v>
      </c>
      <c r="E32" s="360" t="s">
        <v>91</v>
      </c>
      <c r="F32" s="358" t="s">
        <v>88</v>
      </c>
      <c r="G32" s="12" t="s">
        <v>146</v>
      </c>
      <c r="H32" s="120">
        <v>39.49</v>
      </c>
      <c r="I32" s="120">
        <v>56.6</v>
      </c>
      <c r="J32" s="120">
        <v>4.25</v>
      </c>
      <c r="K32" s="120">
        <v>8.59</v>
      </c>
      <c r="L32" s="120">
        <v>8.82</v>
      </c>
      <c r="M32" s="376"/>
      <c r="N32" s="342"/>
      <c r="O32" s="343"/>
      <c r="P32" s="120">
        <f t="shared" ref="P32:P33" si="53">AVERAGE(H32:L32)</f>
        <v>23.55</v>
      </c>
      <c r="Q32" s="125">
        <v>39.61</v>
      </c>
      <c r="R32" s="125">
        <v>56.73</v>
      </c>
      <c r="S32" s="125">
        <v>4.2300000000000004</v>
      </c>
      <c r="T32" s="125">
        <v>8.57</v>
      </c>
      <c r="U32" s="125">
        <v>8.8699999999999992</v>
      </c>
      <c r="V32" s="376"/>
      <c r="W32" s="342"/>
      <c r="X32" s="343"/>
      <c r="Y32" s="178">
        <f t="shared" ref="Y32:Y33" si="54">AVERAGE(Q32:U32)</f>
        <v>23.602000000000004</v>
      </c>
      <c r="Z32" s="126">
        <v>39.479999999999997</v>
      </c>
      <c r="AA32" s="179">
        <v>56.34</v>
      </c>
      <c r="AB32" s="126">
        <v>4.4000000000000004</v>
      </c>
      <c r="AC32" s="126">
        <v>8.9</v>
      </c>
      <c r="AD32" s="126">
        <v>8.99</v>
      </c>
      <c r="AE32" s="372"/>
      <c r="AF32" s="342"/>
      <c r="AG32" s="342"/>
      <c r="AH32" s="180">
        <f t="shared" ref="AH32:AH33" si="55">AVERAGE(Z32:AD32)</f>
        <v>23.622</v>
      </c>
      <c r="AI32" s="341"/>
      <c r="AJ32" s="342"/>
      <c r="AK32" s="342"/>
      <c r="AL32" s="342"/>
      <c r="AM32" s="342"/>
      <c r="AN32" s="342"/>
      <c r="AO32" s="342"/>
      <c r="AP32" s="342"/>
      <c r="AQ32" s="343"/>
      <c r="AR32" s="41">
        <f t="shared" ref="AR32:AR33" si="56">P32-AH32</f>
        <v>-7.1999999999999176E-2</v>
      </c>
      <c r="AS32" s="41">
        <f t="shared" ref="AS32:AS33" si="57">STDEV(AW32:AZ32)</f>
        <v>0.24308777564218767</v>
      </c>
      <c r="AT32" s="41">
        <f t="shared" ref="AT32:AT33" si="58">Y32-AH32</f>
        <v>-1.9999999999996021E-2</v>
      </c>
      <c r="AU32" s="41">
        <f t="shared" ref="AU32:AU33" si="59">STDEV(BA32:BD32)</f>
        <v>0.31973947728319674</v>
      </c>
      <c r="AW32" s="54">
        <f t="shared" ref="AW32:AZ32" si="60">H32-Z32</f>
        <v>1.0000000000005116E-2</v>
      </c>
      <c r="AX32" s="56">
        <f t="shared" si="60"/>
        <v>0.25999999999999801</v>
      </c>
      <c r="AY32" s="56">
        <f t="shared" si="60"/>
        <v>-0.15000000000000036</v>
      </c>
      <c r="AZ32" s="55">
        <f t="shared" si="60"/>
        <v>-0.3100000000000005</v>
      </c>
      <c r="BA32" s="56">
        <f t="shared" ref="BA32:BD32" si="61">Q32-Z32</f>
        <v>0.13000000000000256</v>
      </c>
      <c r="BB32" s="56">
        <f t="shared" si="61"/>
        <v>0.38999999999999346</v>
      </c>
      <c r="BC32" s="56">
        <f t="shared" si="61"/>
        <v>-0.16999999999999993</v>
      </c>
      <c r="BD32" s="56">
        <f t="shared" si="61"/>
        <v>-0.33000000000000007</v>
      </c>
      <c r="BL32" s="57"/>
    </row>
    <row r="33" spans="1:64" ht="15.75" customHeight="1">
      <c r="A33" s="58" t="s">
        <v>155</v>
      </c>
      <c r="B33" s="135">
        <v>1543490560</v>
      </c>
      <c r="C33" s="44">
        <v>95.11</v>
      </c>
      <c r="D33" s="325"/>
      <c r="E33" s="325"/>
      <c r="F33" s="325"/>
      <c r="G33" s="46" t="s">
        <v>157</v>
      </c>
      <c r="H33" s="181">
        <v>24.3</v>
      </c>
      <c r="I33" s="181">
        <v>39.32</v>
      </c>
      <c r="J33" s="147">
        <v>2.99</v>
      </c>
      <c r="K33" s="181">
        <v>5.23</v>
      </c>
      <c r="L33" s="181">
        <v>14.4</v>
      </c>
      <c r="M33" s="377"/>
      <c r="N33" s="342"/>
      <c r="O33" s="343"/>
      <c r="P33" s="137">
        <f t="shared" si="53"/>
        <v>17.248000000000001</v>
      </c>
      <c r="Q33" s="148">
        <v>24.46</v>
      </c>
      <c r="R33" s="182">
        <v>39.79</v>
      </c>
      <c r="S33" s="148">
        <v>2.98</v>
      </c>
      <c r="T33" s="148">
        <v>5.21</v>
      </c>
      <c r="U33" s="148">
        <v>14.34</v>
      </c>
      <c r="V33" s="377"/>
      <c r="W33" s="342"/>
      <c r="X33" s="343"/>
      <c r="Y33" s="183">
        <f t="shared" si="54"/>
        <v>17.356000000000002</v>
      </c>
      <c r="Z33" s="184">
        <v>24.47</v>
      </c>
      <c r="AA33" s="185">
        <v>39.950000000000003</v>
      </c>
      <c r="AB33" s="149">
        <v>2.95</v>
      </c>
      <c r="AC33" s="184">
        <v>5.32</v>
      </c>
      <c r="AD33" s="184">
        <v>14.28</v>
      </c>
      <c r="AE33" s="373"/>
      <c r="AF33" s="342"/>
      <c r="AG33" s="342"/>
      <c r="AH33" s="186">
        <f t="shared" si="55"/>
        <v>17.393999999999998</v>
      </c>
      <c r="AI33" s="367"/>
      <c r="AJ33" s="342"/>
      <c r="AK33" s="342"/>
      <c r="AL33" s="342"/>
      <c r="AM33" s="342"/>
      <c r="AN33" s="342"/>
      <c r="AO33" s="342"/>
      <c r="AP33" s="342"/>
      <c r="AQ33" s="343"/>
      <c r="AR33" s="41">
        <f t="shared" si="56"/>
        <v>-0.14599999999999724</v>
      </c>
      <c r="AS33" s="41">
        <f t="shared" si="57"/>
        <v>0.29147612823923358</v>
      </c>
      <c r="AT33" s="41">
        <f t="shared" si="58"/>
        <v>-3.7999999999996703E-2</v>
      </c>
      <c r="AU33" s="41">
        <f t="shared" si="59"/>
        <v>8.7702147446154219E-2</v>
      </c>
      <c r="AW33" s="111">
        <f t="shared" ref="AW33:AZ33" si="62">H33-Z33</f>
        <v>-0.16999999999999815</v>
      </c>
      <c r="AX33" s="431">
        <f t="shared" si="62"/>
        <v>-0.63000000000000256</v>
      </c>
      <c r="AY33" s="431">
        <f t="shared" si="62"/>
        <v>4.0000000000000036E-2</v>
      </c>
      <c r="AZ33" s="134">
        <f t="shared" si="62"/>
        <v>-8.9999999999999858E-2</v>
      </c>
      <c r="BA33" s="431">
        <f t="shared" ref="BA33:BD33" si="63">Q33-Z33</f>
        <v>-9.9999999999980105E-3</v>
      </c>
      <c r="BB33" s="431">
        <f t="shared" si="63"/>
        <v>-0.16000000000000369</v>
      </c>
      <c r="BC33" s="431">
        <f t="shared" si="63"/>
        <v>2.9999999999999805E-2</v>
      </c>
      <c r="BD33" s="431">
        <f t="shared" si="63"/>
        <v>-0.11000000000000032</v>
      </c>
      <c r="BE33" s="431"/>
      <c r="BF33" s="431"/>
      <c r="BG33" s="431"/>
      <c r="BH33" s="431"/>
      <c r="BI33" s="431"/>
      <c r="BJ33" s="431"/>
      <c r="BK33" s="431"/>
      <c r="BL33" s="57"/>
    </row>
    <row r="34" spans="1:64" ht="15.75" customHeight="1">
      <c r="A34" s="143"/>
      <c r="B34" s="144"/>
      <c r="C34" s="114"/>
      <c r="D34" s="115"/>
      <c r="E34" s="116"/>
      <c r="F34" s="117"/>
      <c r="G34" s="118"/>
      <c r="H34" s="119" t="s">
        <v>169</v>
      </c>
      <c r="I34" s="370"/>
      <c r="J34" s="330"/>
      <c r="K34" s="330"/>
      <c r="L34" s="330"/>
      <c r="M34" s="330"/>
      <c r="N34" s="330"/>
      <c r="O34" s="330"/>
      <c r="P34" s="187"/>
      <c r="Q34" s="119" t="s">
        <v>169</v>
      </c>
      <c r="R34" s="370"/>
      <c r="S34" s="330"/>
      <c r="T34" s="330"/>
      <c r="U34" s="330"/>
      <c r="V34" s="330"/>
      <c r="W34" s="330"/>
      <c r="X34" s="330"/>
      <c r="Y34" s="187"/>
      <c r="Z34" s="119" t="s">
        <v>169</v>
      </c>
      <c r="AA34" s="370"/>
      <c r="AB34" s="330"/>
      <c r="AC34" s="330"/>
      <c r="AD34" s="330"/>
      <c r="AE34" s="330"/>
      <c r="AF34" s="330"/>
      <c r="AG34" s="330"/>
      <c r="AH34" s="119"/>
      <c r="AI34" s="366"/>
      <c r="AJ34" s="330"/>
      <c r="AK34" s="330"/>
      <c r="AL34" s="330"/>
      <c r="AM34" s="330"/>
      <c r="AN34" s="330"/>
      <c r="AO34" s="330"/>
      <c r="AP34" s="330"/>
      <c r="AQ34" s="331"/>
      <c r="AR34" s="119"/>
      <c r="AS34" s="119"/>
      <c r="AT34" s="119"/>
      <c r="AU34" s="119"/>
      <c r="AV34" s="434"/>
      <c r="AW34" s="432"/>
      <c r="AX34" s="432"/>
      <c r="AY34" s="432"/>
      <c r="AZ34" s="432"/>
      <c r="BA34" s="432"/>
      <c r="BB34" s="432"/>
      <c r="BC34" s="432"/>
      <c r="BD34" s="432"/>
      <c r="BE34" s="432"/>
      <c r="BF34" s="432"/>
      <c r="BG34" s="432"/>
      <c r="BH34" s="432"/>
      <c r="BI34" s="432"/>
      <c r="BJ34" s="432"/>
      <c r="BK34" s="432"/>
      <c r="BL34" s="434"/>
    </row>
    <row r="35" spans="1:64" ht="15.75" customHeight="1">
      <c r="A35" s="66" t="s">
        <v>170</v>
      </c>
      <c r="B35" s="34">
        <v>86594063</v>
      </c>
      <c r="C35" s="35">
        <v>98.08</v>
      </c>
      <c r="D35" s="188" t="s">
        <v>19</v>
      </c>
      <c r="E35" s="10" t="s">
        <v>91</v>
      </c>
      <c r="F35" s="189" t="s">
        <v>88</v>
      </c>
      <c r="G35" s="12" t="s">
        <v>171</v>
      </c>
      <c r="H35" s="120">
        <v>44.81</v>
      </c>
      <c r="I35" s="374"/>
      <c r="J35" s="335"/>
      <c r="K35" s="335"/>
      <c r="L35" s="335"/>
      <c r="M35" s="335"/>
      <c r="N35" s="335"/>
      <c r="O35" s="336"/>
      <c r="P35" s="120">
        <v>44.81</v>
      </c>
      <c r="Q35" s="125">
        <v>44.800000000000004</v>
      </c>
      <c r="R35" s="374"/>
      <c r="S35" s="335"/>
      <c r="T35" s="335"/>
      <c r="U35" s="335"/>
      <c r="V35" s="335"/>
      <c r="W35" s="335"/>
      <c r="X35" s="336"/>
      <c r="Y35" s="125">
        <v>44.800000000000004</v>
      </c>
      <c r="Z35" s="131">
        <v>44.04</v>
      </c>
      <c r="AA35" s="374"/>
      <c r="AB35" s="335"/>
      <c r="AC35" s="335"/>
      <c r="AD35" s="335"/>
      <c r="AE35" s="335"/>
      <c r="AF35" s="335"/>
      <c r="AG35" s="335"/>
      <c r="AH35" s="131">
        <v>44.04</v>
      </c>
      <c r="AI35" s="375"/>
      <c r="AJ35" s="335"/>
      <c r="AK35" s="335"/>
      <c r="AL35" s="335"/>
      <c r="AM35" s="335"/>
      <c r="AN35" s="335"/>
      <c r="AO35" s="335"/>
      <c r="AP35" s="335"/>
      <c r="AQ35" s="336"/>
      <c r="AR35" s="41">
        <f>P35-AH35</f>
        <v>0.77000000000000313</v>
      </c>
      <c r="AS35" s="41">
        <v>0</v>
      </c>
      <c r="AT35" s="41">
        <f>Y35-AH35</f>
        <v>0.76000000000000512</v>
      </c>
      <c r="AU35" s="41">
        <v>0</v>
      </c>
      <c r="AV35" s="434"/>
      <c r="AW35" s="432"/>
      <c r="BL35" s="434"/>
    </row>
    <row r="36" spans="1:64" ht="12.75">
      <c r="B36" s="190"/>
      <c r="C36" s="190"/>
      <c r="D36" s="190"/>
      <c r="E36" s="21"/>
      <c r="F36" s="21"/>
      <c r="G36" s="21"/>
      <c r="AV36" s="434"/>
      <c r="AW36" s="432"/>
      <c r="BL36" s="434"/>
    </row>
    <row r="37" spans="1:64" ht="15.75" customHeight="1">
      <c r="AV37" s="434"/>
      <c r="AW37" s="432"/>
      <c r="BL37" s="434"/>
    </row>
    <row r="38" spans="1:64" ht="12.75">
      <c r="A38" s="382" t="s">
        <v>172</v>
      </c>
      <c r="B38" s="355"/>
      <c r="C38" s="356"/>
      <c r="G38" s="382" t="s">
        <v>173</v>
      </c>
      <c r="H38" s="355"/>
      <c r="I38" s="355"/>
      <c r="J38" s="355"/>
      <c r="K38" s="355"/>
      <c r="L38" s="355"/>
      <c r="M38" s="355"/>
      <c r="N38" s="355"/>
      <c r="O38" s="355"/>
      <c r="P38" s="356"/>
      <c r="S38" s="382" t="s">
        <v>174</v>
      </c>
      <c r="T38" s="355"/>
      <c r="U38" s="355"/>
      <c r="V38" s="355"/>
      <c r="W38" s="355"/>
      <c r="X38" s="355"/>
      <c r="Y38" s="355"/>
      <c r="Z38" s="355"/>
      <c r="AA38" s="355"/>
      <c r="AB38" s="355"/>
      <c r="AC38" s="356"/>
      <c r="AV38" s="434"/>
      <c r="AW38" s="433">
        <f>MIN(AW20:AW21)</f>
        <v>0.22999999999999687</v>
      </c>
      <c r="AX38" s="21">
        <f t="shared" ref="AW38:BD38" si="64">MIN(AX20:AX21)</f>
        <v>0.10999999999999943</v>
      </c>
      <c r="AY38" s="21">
        <f t="shared" si="64"/>
        <v>-0.73000000000000398</v>
      </c>
      <c r="AZ38" s="21">
        <f t="shared" si="64"/>
        <v>0.24000000000000909</v>
      </c>
      <c r="BA38" s="21">
        <f t="shared" si="64"/>
        <v>0.22000000000000597</v>
      </c>
      <c r="BB38" s="21">
        <f t="shared" si="64"/>
        <v>-1.0799999999999983</v>
      </c>
      <c r="BC38" s="21">
        <f t="shared" si="64"/>
        <v>-5.6300000000000026</v>
      </c>
      <c r="BD38" s="21">
        <f t="shared" si="64"/>
        <v>0.30000000000001137</v>
      </c>
      <c r="BL38" s="434"/>
    </row>
    <row r="39" spans="1:64" ht="27.75" customHeight="1">
      <c r="A39" s="191" t="s">
        <v>175</v>
      </c>
      <c r="B39" s="192" t="s">
        <v>6</v>
      </c>
      <c r="C39" s="193" t="s">
        <v>176</v>
      </c>
      <c r="E39" s="194"/>
      <c r="F39" s="194"/>
      <c r="G39" s="195" t="s">
        <v>0</v>
      </c>
      <c r="H39" s="196" t="s">
        <v>177</v>
      </c>
      <c r="I39" s="197" t="s">
        <v>178</v>
      </c>
      <c r="J39" s="197" t="s">
        <v>179</v>
      </c>
      <c r="K39" s="198" t="s">
        <v>180</v>
      </c>
      <c r="L39" s="198" t="s">
        <v>181</v>
      </c>
      <c r="M39" s="199" t="s">
        <v>12</v>
      </c>
      <c r="N39" s="199" t="s">
        <v>14</v>
      </c>
      <c r="O39" s="200" t="s">
        <v>2</v>
      </c>
      <c r="P39" s="201" t="s">
        <v>182</v>
      </c>
      <c r="Q39" s="202"/>
      <c r="S39" s="203" t="s">
        <v>12</v>
      </c>
      <c r="T39" s="204" t="s">
        <v>183</v>
      </c>
      <c r="U39" s="204" t="s">
        <v>184</v>
      </c>
      <c r="V39" s="204" t="s">
        <v>185</v>
      </c>
      <c r="W39" s="204" t="s">
        <v>186</v>
      </c>
      <c r="Y39" s="199" t="s">
        <v>14</v>
      </c>
      <c r="Z39" s="204" t="s">
        <v>183</v>
      </c>
      <c r="AA39" s="204" t="s">
        <v>184</v>
      </c>
      <c r="AB39" s="204" t="s">
        <v>185</v>
      </c>
      <c r="AC39" s="205" t="s">
        <v>186</v>
      </c>
      <c r="AV39" s="434"/>
      <c r="AW39" s="431">
        <f t="shared" ref="AW39:BD39" si="65">MIN(AW23:AW30)</f>
        <v>-0.51999999999999602</v>
      </c>
      <c r="AX39" s="21">
        <f t="shared" si="65"/>
        <v>0.2099999999999973</v>
      </c>
      <c r="AY39" s="21">
        <f t="shared" si="65"/>
        <v>0.25</v>
      </c>
      <c r="AZ39" s="21">
        <f t="shared" si="65"/>
        <v>-7.9799999999999969</v>
      </c>
      <c r="BA39" s="21">
        <f t="shared" si="65"/>
        <v>-0.43999999999999773</v>
      </c>
      <c r="BB39" s="21">
        <f t="shared" si="65"/>
        <v>-1.4500000000000028</v>
      </c>
      <c r="BC39" s="21">
        <f t="shared" si="65"/>
        <v>-1.720000000000006</v>
      </c>
      <c r="BD39" s="21">
        <f t="shared" si="65"/>
        <v>-7.9999999999998295E-2</v>
      </c>
      <c r="BL39" s="434"/>
    </row>
    <row r="40" spans="1:64" ht="15.75" customHeight="1">
      <c r="A40" s="206" t="s">
        <v>15</v>
      </c>
      <c r="B40" s="207" t="s">
        <v>187</v>
      </c>
      <c r="C40" s="208" t="s">
        <v>57</v>
      </c>
      <c r="E40" s="194"/>
      <c r="F40" s="194"/>
      <c r="G40" s="209" t="s">
        <v>18</v>
      </c>
      <c r="H40" s="210" t="s">
        <v>188</v>
      </c>
      <c r="I40" s="16">
        <f t="shared" ref="I40:I41" si="66">P4</f>
        <v>93.727999999999994</v>
      </c>
      <c r="J40" s="16">
        <f t="shared" ref="J40:J41" si="67">Y4</f>
        <v>93.692000000000007</v>
      </c>
      <c r="K40" s="48">
        <f t="shared" ref="K40:K41" si="68">AH4</f>
        <v>93.126000000000005</v>
      </c>
      <c r="L40" s="48">
        <f t="shared" ref="L40:L41" si="69">AQ4</f>
        <v>91.378000000000014</v>
      </c>
      <c r="M40" s="211" t="str">
        <f t="shared" ref="M40:M41" si="70">TEXT(AR4,"0.00")&amp;"±"&amp;TEXT(AS4,"0.0")</f>
        <v>0.60±0.0</v>
      </c>
      <c r="N40" s="211" t="str">
        <f t="shared" ref="N40:N41" si="71">TEXT(AT4,"0.00")&amp;"±"&amp;TEXT(AU4,"0.0")</f>
        <v>0.57±0.0</v>
      </c>
      <c r="O40" s="212">
        <v>100</v>
      </c>
      <c r="P40" s="383" t="s">
        <v>15</v>
      </c>
      <c r="Q40" s="214"/>
      <c r="S40" s="215" t="s">
        <v>189</v>
      </c>
      <c r="T40" s="41">
        <f>AVERAGE(AR8,AR10,AR11,AR14,AR16,AR17,AR18,AR9)</f>
        <v>2.0094500000000011</v>
      </c>
      <c r="U40" s="41">
        <f>STDEV(AR8,AR10,AR11,AR14,AR16,AR17,AR18,AR9)</f>
        <v>1.021218324215877</v>
      </c>
      <c r="V40" s="41">
        <f>MIN(AR8,AR10,AR11,AR14,AR16,AR17,AR18,AR9)</f>
        <v>0.17000000000000171</v>
      </c>
      <c r="W40" s="41">
        <f>MAX(AR8,AR10,AR11,AR14,AR16,AR17,AR18,AR9)</f>
        <v>3.7267999999999972</v>
      </c>
      <c r="X40" s="56"/>
      <c r="Y40" s="216" t="s">
        <v>189</v>
      </c>
      <c r="Z40" s="41">
        <f>AVERAGE(AT8,AT10,AT11,AT14,AT16,AT17,AT18,AT9)</f>
        <v>0.25552499999999689</v>
      </c>
      <c r="AA40" s="41">
        <f>STDEV(AT8,AT10,AT11,AT14,AT16,AT17,AT18,AT9)</f>
        <v>1.0580505088537806</v>
      </c>
      <c r="AB40" s="41">
        <f>MIN(AT8,AT10,AT11,AT14,AT16,AT17,AT18,AT9)</f>
        <v>-1.5984000000000265</v>
      </c>
      <c r="AC40" s="217">
        <f>MAX(AT8,AT10,AT11,AT14,AT16,AT17,AT18,AT9)</f>
        <v>1.5530000000000257</v>
      </c>
      <c r="AV40" s="434"/>
      <c r="AW40" s="433">
        <f t="shared" ref="AW40:BD40" si="72">MIN(AW32:AW33)</f>
        <v>-0.16999999999999815</v>
      </c>
      <c r="AX40" s="56">
        <f t="shared" si="72"/>
        <v>-0.63000000000000256</v>
      </c>
      <c r="AY40" s="56">
        <f t="shared" si="72"/>
        <v>-0.15000000000000036</v>
      </c>
      <c r="AZ40" s="56">
        <f t="shared" si="72"/>
        <v>-0.3100000000000005</v>
      </c>
      <c r="BA40" s="56">
        <f t="shared" si="72"/>
        <v>-9.9999999999980105E-3</v>
      </c>
      <c r="BB40" s="56">
        <f t="shared" si="72"/>
        <v>-0.16000000000000369</v>
      </c>
      <c r="BC40" s="56">
        <f t="shared" si="72"/>
        <v>-0.16999999999999993</v>
      </c>
      <c r="BD40" s="56">
        <f t="shared" si="72"/>
        <v>-0.33000000000000007</v>
      </c>
      <c r="BL40" s="434"/>
    </row>
    <row r="41" spans="1:64" ht="15.75" customHeight="1">
      <c r="A41" s="218" t="s">
        <v>25</v>
      </c>
      <c r="B41" s="219" t="s">
        <v>190</v>
      </c>
      <c r="C41" s="220" t="s">
        <v>57</v>
      </c>
      <c r="E41" s="194"/>
      <c r="F41" s="194"/>
      <c r="G41" s="221" t="s">
        <v>23</v>
      </c>
      <c r="H41" s="222" t="s">
        <v>191</v>
      </c>
      <c r="I41" s="223">
        <f t="shared" si="66"/>
        <v>96.99799999999999</v>
      </c>
      <c r="J41" s="223">
        <f t="shared" si="67"/>
        <v>96.929999999999993</v>
      </c>
      <c r="K41" s="224">
        <f t="shared" si="68"/>
        <v>96.88</v>
      </c>
      <c r="L41" s="224">
        <f t="shared" si="69"/>
        <v>96.94</v>
      </c>
      <c r="M41" s="225" t="str">
        <f t="shared" si="70"/>
        <v>0.06±0.0</v>
      </c>
      <c r="N41" s="225" t="str">
        <f t="shared" si="71"/>
        <v>-0.01±0.0</v>
      </c>
      <c r="O41" s="226">
        <v>100</v>
      </c>
      <c r="P41" s="379"/>
      <c r="Q41" s="214"/>
      <c r="S41" s="215" t="s">
        <v>192</v>
      </c>
      <c r="T41" s="41">
        <f>AVERAGE(AR20:AR35)</f>
        <v>0.18707692307692378</v>
      </c>
      <c r="U41" s="41">
        <f>STDEV(AR20:AR35)</f>
        <v>0.54031030228601729</v>
      </c>
      <c r="V41" s="41">
        <f>MIN(AR20:AR35)</f>
        <v>-0.82499999999998863</v>
      </c>
      <c r="W41" s="41">
        <f>MAX(AR20:AR35)</f>
        <v>1.1999999999999957</v>
      </c>
      <c r="X41" s="56"/>
      <c r="Y41" s="216" t="s">
        <v>192</v>
      </c>
      <c r="Z41" s="41">
        <f>AVERAGE(AT20:AT35)</f>
        <v>0.21236538461538637</v>
      </c>
      <c r="AA41" s="41">
        <f>STDEV(AT20:AT35)</f>
        <v>0.45765266823606676</v>
      </c>
      <c r="AB41" s="41">
        <f>MIN(AT20:AT35)</f>
        <v>-0.44499999999999318</v>
      </c>
      <c r="AC41" s="217">
        <f>MAX(AT20:AT35)</f>
        <v>1.0962500000000048</v>
      </c>
      <c r="AV41" s="434"/>
      <c r="AW41" s="433">
        <f>AR35</f>
        <v>0.77000000000000313</v>
      </c>
      <c r="BL41" s="434"/>
    </row>
    <row r="42" spans="1:64" ht="15.75" customHeight="1" thickTop="1" thickBot="1">
      <c r="A42" s="227" t="s">
        <v>26</v>
      </c>
      <c r="B42" s="207" t="s">
        <v>193</v>
      </c>
      <c r="C42" s="228" t="s">
        <v>57</v>
      </c>
      <c r="E42" s="194"/>
      <c r="F42" s="194"/>
      <c r="G42" s="229" t="s">
        <v>27</v>
      </c>
      <c r="H42" s="230" t="s">
        <v>194</v>
      </c>
      <c r="I42" s="231">
        <f t="shared" ref="I42:I52" si="73">P8</f>
        <v>73.25</v>
      </c>
      <c r="J42" s="231">
        <f t="shared" ref="J42:J52" si="74">Y8</f>
        <v>72.959000000000003</v>
      </c>
      <c r="K42" s="232">
        <f t="shared" ref="K42:K52" si="75">AH8</f>
        <v>71.495999999999995</v>
      </c>
      <c r="L42" s="232">
        <f t="shared" ref="L42:L51" si="76">AQ8</f>
        <v>69.441000000000003</v>
      </c>
      <c r="M42" s="233" t="str">
        <f t="shared" ref="M42:M52" si="77">TEXT(AR8,"0.00")&amp;"±"&amp;TEXT(AS8,"0.0")</f>
        <v>1.75±3.1</v>
      </c>
      <c r="N42" s="233" t="str">
        <f t="shared" ref="N42:N52" si="78">TEXT(AT8,"0.00")&amp;"±"&amp;TEXT(AU8,"0.0")</f>
        <v>1.46±1.1</v>
      </c>
      <c r="O42" s="234">
        <v>100</v>
      </c>
      <c r="P42" s="384" t="s">
        <v>195</v>
      </c>
      <c r="Q42" s="214"/>
      <c r="S42" s="235" t="s">
        <v>196</v>
      </c>
      <c r="T42" s="236">
        <f>AVERAGE(AR12,AR13,AR15)</f>
        <v>7.6793333333333367</v>
      </c>
      <c r="U42" s="236">
        <f>STDEV(AR12,AR13,AR15)</f>
        <v>1.0370411435103846</v>
      </c>
      <c r="V42" s="236">
        <f>MIN(AR12,AR13,AR15)</f>
        <v>6.6370000000000005</v>
      </c>
      <c r="W42" s="236">
        <f>MAX(AR12,AR13,AR15)</f>
        <v>8.7109999999999985</v>
      </c>
      <c r="X42" s="237"/>
      <c r="Y42" s="238" t="s">
        <v>196</v>
      </c>
      <c r="Z42" s="236">
        <f>AVERAGE(AT12,AT13,AT15)</f>
        <v>3.3880000000000052</v>
      </c>
      <c r="AA42" s="236">
        <f>STDEV(AT12,AT13,AT15)</f>
        <v>0.5692178844695559</v>
      </c>
      <c r="AB42" s="236">
        <f>MIN(AT12,AT13,AT15)</f>
        <v>2.7430000000000092</v>
      </c>
      <c r="AC42" s="239">
        <f>MAX(AT12,AT13,AT15)</f>
        <v>3.8200000000000074</v>
      </c>
      <c r="AV42" s="434"/>
      <c r="AW42" s="432"/>
      <c r="BL42" s="434"/>
    </row>
    <row r="43" spans="1:64" ht="15.75" customHeight="1" thickTop="1" thickBot="1">
      <c r="A43" s="218" t="s">
        <v>40</v>
      </c>
      <c r="B43" s="385" t="s">
        <v>197</v>
      </c>
      <c r="C43" s="220" t="s">
        <v>57</v>
      </c>
      <c r="E43" s="194"/>
      <c r="F43" s="194"/>
      <c r="G43" s="240" t="s">
        <v>28</v>
      </c>
      <c r="H43" s="241" t="s">
        <v>198</v>
      </c>
      <c r="I43" s="16">
        <f t="shared" si="73"/>
        <v>86.948999999999998</v>
      </c>
      <c r="J43" s="16">
        <f t="shared" si="74"/>
        <v>84.485199999999992</v>
      </c>
      <c r="K43" s="48">
        <f t="shared" si="75"/>
        <v>82.562750000000008</v>
      </c>
      <c r="L43" s="48">
        <f t="shared" si="76"/>
        <v>84.653000000000006</v>
      </c>
      <c r="M43" s="211" t="str">
        <f t="shared" si="77"/>
        <v>2.30±3.3</v>
      </c>
      <c r="N43" s="211" t="str">
        <f t="shared" si="78"/>
        <v>-0.17±0.5</v>
      </c>
      <c r="O43" s="212">
        <v>99.23</v>
      </c>
      <c r="P43" s="381"/>
      <c r="Q43" s="214"/>
      <c r="AV43" s="434"/>
      <c r="AW43" s="435">
        <f>AVERAGE(AW38:BD41)</f>
        <v>-0.76919999999999933</v>
      </c>
      <c r="AX43" s="436"/>
      <c r="AY43" s="436"/>
      <c r="AZ43" s="436"/>
      <c r="BA43" s="436"/>
      <c r="BB43" s="436"/>
      <c r="BC43" s="436"/>
      <c r="BD43" s="436"/>
      <c r="BE43" s="436"/>
      <c r="BF43" s="436"/>
      <c r="BG43" s="436"/>
      <c r="BH43" s="436"/>
      <c r="BI43" s="436"/>
      <c r="BJ43" s="436"/>
      <c r="BK43" s="436"/>
      <c r="BL43" s="437"/>
    </row>
    <row r="44" spans="1:64" ht="15.75" customHeight="1" thickTop="1">
      <c r="A44" s="206" t="s">
        <v>47</v>
      </c>
      <c r="B44" s="361"/>
      <c r="C44" s="208" t="s">
        <v>57</v>
      </c>
      <c r="E44" s="194"/>
      <c r="F44" s="194"/>
      <c r="G44" s="240" t="s">
        <v>30</v>
      </c>
      <c r="H44" s="241" t="s">
        <v>199</v>
      </c>
      <c r="I44" s="16">
        <f t="shared" si="73"/>
        <v>82.188399999999987</v>
      </c>
      <c r="J44" s="16">
        <f t="shared" si="74"/>
        <v>79.662999999999997</v>
      </c>
      <c r="K44" s="48">
        <f t="shared" si="75"/>
        <v>73.654199999999989</v>
      </c>
      <c r="L44" s="48">
        <f t="shared" si="76"/>
        <v>79.991600000000005</v>
      </c>
      <c r="M44" s="211" t="str">
        <f t="shared" si="77"/>
        <v>2.20±1.5</v>
      </c>
      <c r="N44" s="211" t="str">
        <f t="shared" si="78"/>
        <v>-0.33±1.2</v>
      </c>
      <c r="O44" s="212">
        <v>99.78</v>
      </c>
      <c r="P44" s="381"/>
      <c r="Q44" s="214"/>
    </row>
    <row r="45" spans="1:64" ht="15.75" customHeight="1">
      <c r="A45" s="218" t="s">
        <v>44</v>
      </c>
      <c r="B45" s="361"/>
      <c r="C45" s="220" t="s">
        <v>57</v>
      </c>
      <c r="E45" s="194"/>
      <c r="F45" s="194"/>
      <c r="G45" s="240" t="s">
        <v>31</v>
      </c>
      <c r="H45" s="241" t="s">
        <v>200</v>
      </c>
      <c r="I45" s="16">
        <f t="shared" si="73"/>
        <v>86.818000000000012</v>
      </c>
      <c r="J45" s="16">
        <f t="shared" si="74"/>
        <v>85.155000000000001</v>
      </c>
      <c r="K45" s="48">
        <f t="shared" si="75"/>
        <v>80.203000000000003</v>
      </c>
      <c r="L45" s="48">
        <f t="shared" si="76"/>
        <v>85.25</v>
      </c>
      <c r="M45" s="211" t="str">
        <f t="shared" si="77"/>
        <v>1.57±2.0</v>
      </c>
      <c r="N45" s="211" t="str">
        <f t="shared" si="78"/>
        <v>-0.09±0.6</v>
      </c>
      <c r="O45" s="212">
        <v>99.86</v>
      </c>
      <c r="P45" s="381"/>
      <c r="Q45" s="214"/>
    </row>
    <row r="46" spans="1:64" ht="15.75" customHeight="1">
      <c r="A46" s="206" t="s">
        <v>45</v>
      </c>
      <c r="B46" s="361"/>
      <c r="C46" s="208" t="s">
        <v>57</v>
      </c>
      <c r="E46" s="194"/>
      <c r="F46" s="194"/>
      <c r="G46" s="240" t="s">
        <v>32</v>
      </c>
      <c r="H46" s="241" t="s">
        <v>201</v>
      </c>
      <c r="I46" s="16">
        <f t="shared" si="73"/>
        <v>81.994</v>
      </c>
      <c r="J46" s="16">
        <f t="shared" si="74"/>
        <v>78.957999999999998</v>
      </c>
      <c r="K46" s="48">
        <f t="shared" si="75"/>
        <v>39.79</v>
      </c>
      <c r="L46" s="48">
        <f t="shared" si="76"/>
        <v>75.356999999999999</v>
      </c>
      <c r="M46" s="211" t="str">
        <f t="shared" si="77"/>
        <v>6.64±6.0</v>
      </c>
      <c r="N46" s="211" t="str">
        <f t="shared" si="78"/>
        <v>3.60±0.1</v>
      </c>
      <c r="O46" s="212">
        <v>99.13</v>
      </c>
      <c r="P46" s="381"/>
      <c r="Q46" s="214"/>
    </row>
    <row r="47" spans="1:64" ht="15.75" customHeight="1">
      <c r="A47" s="218" t="s">
        <v>42</v>
      </c>
      <c r="B47" s="361"/>
      <c r="C47" s="220" t="s">
        <v>57</v>
      </c>
      <c r="G47" s="209" t="s">
        <v>34</v>
      </c>
      <c r="H47" s="241" t="s">
        <v>202</v>
      </c>
      <c r="I47" s="16">
        <f t="shared" si="73"/>
        <v>83.034000000000006</v>
      </c>
      <c r="J47" s="16">
        <f t="shared" si="74"/>
        <v>79.164000000000001</v>
      </c>
      <c r="K47" s="48">
        <f t="shared" si="75"/>
        <v>56.948999999999998</v>
      </c>
      <c r="L47" s="48">
        <f t="shared" si="76"/>
        <v>75.343999999999994</v>
      </c>
      <c r="M47" s="211" t="str">
        <f t="shared" si="77"/>
        <v>7.69±4.3</v>
      </c>
      <c r="N47" s="211" t="str">
        <f t="shared" si="78"/>
        <v>3.82±0.2</v>
      </c>
      <c r="O47" s="212">
        <v>99.03</v>
      </c>
      <c r="P47" s="381"/>
      <c r="Q47" s="214"/>
    </row>
    <row r="48" spans="1:64" ht="15.75" customHeight="1">
      <c r="A48" s="206" t="s">
        <v>43</v>
      </c>
      <c r="B48" s="361"/>
      <c r="C48" s="208" t="s">
        <v>57</v>
      </c>
      <c r="G48" s="240" t="s">
        <v>35</v>
      </c>
      <c r="H48" s="241" t="s">
        <v>203</v>
      </c>
      <c r="I48" s="16">
        <f t="shared" si="73"/>
        <v>82.223000000000013</v>
      </c>
      <c r="J48" s="16">
        <f t="shared" si="74"/>
        <v>80.561999999999998</v>
      </c>
      <c r="K48" s="48">
        <f t="shared" si="75"/>
        <v>77.688000000000002</v>
      </c>
      <c r="L48" s="48">
        <f t="shared" si="76"/>
        <v>79.525999999999996</v>
      </c>
      <c r="M48" s="211" t="str">
        <f t="shared" si="77"/>
        <v>2.70±3.4</v>
      </c>
      <c r="N48" s="211" t="str">
        <f t="shared" si="78"/>
        <v>1.04±1.2</v>
      </c>
      <c r="O48" s="212">
        <v>99.92</v>
      </c>
      <c r="P48" s="381"/>
      <c r="Q48" s="214"/>
    </row>
    <row r="49" spans="1:39" ht="15.75" customHeight="1">
      <c r="A49" s="218" t="s">
        <v>41</v>
      </c>
      <c r="B49" s="361"/>
      <c r="C49" s="220" t="s">
        <v>57</v>
      </c>
      <c r="G49" s="240" t="s">
        <v>36</v>
      </c>
      <c r="H49" s="241" t="s">
        <v>204</v>
      </c>
      <c r="I49" s="16">
        <f t="shared" si="73"/>
        <v>72.070999999999998</v>
      </c>
      <c r="J49" s="16">
        <f t="shared" si="74"/>
        <v>66.103000000000009</v>
      </c>
      <c r="K49" s="48">
        <f t="shared" si="75"/>
        <v>62.056000000000012</v>
      </c>
      <c r="L49" s="48">
        <f t="shared" si="76"/>
        <v>63.36</v>
      </c>
      <c r="M49" s="211" t="str">
        <f t="shared" si="77"/>
        <v>8.71±11.9</v>
      </c>
      <c r="N49" s="211" t="str">
        <f t="shared" si="78"/>
        <v>2.74±0.9</v>
      </c>
      <c r="O49" s="212">
        <v>100</v>
      </c>
      <c r="P49" s="381"/>
      <c r="Q49" s="214"/>
    </row>
    <row r="50" spans="1:39" ht="15.75" customHeight="1">
      <c r="A50" s="206" t="s">
        <v>46</v>
      </c>
      <c r="B50" s="325"/>
      <c r="C50" s="208" t="s">
        <v>57</v>
      </c>
      <c r="G50" s="240" t="s">
        <v>37</v>
      </c>
      <c r="H50" s="241" t="s">
        <v>205</v>
      </c>
      <c r="I50" s="16">
        <f t="shared" si="73"/>
        <v>82.063999999999993</v>
      </c>
      <c r="J50" s="16">
        <f t="shared" si="74"/>
        <v>81.950000000000017</v>
      </c>
      <c r="K50" s="48">
        <f t="shared" si="75"/>
        <v>80.396999999999991</v>
      </c>
      <c r="L50" s="48">
        <f t="shared" si="76"/>
        <v>79.376000000000005</v>
      </c>
      <c r="M50" s="211" t="str">
        <f t="shared" si="77"/>
        <v>1.67±2.2</v>
      </c>
      <c r="N50" s="211" t="str">
        <f t="shared" si="78"/>
        <v>1.55±1.3</v>
      </c>
      <c r="O50" s="212">
        <v>100</v>
      </c>
      <c r="P50" s="381"/>
      <c r="Q50" s="214"/>
    </row>
    <row r="51" spans="1:39" ht="15.75" customHeight="1">
      <c r="A51" s="218" t="s">
        <v>56</v>
      </c>
      <c r="B51" s="219" t="s">
        <v>206</v>
      </c>
      <c r="C51" s="220" t="s">
        <v>57</v>
      </c>
      <c r="G51" s="240" t="s">
        <v>38</v>
      </c>
      <c r="H51" s="241" t="s">
        <v>205</v>
      </c>
      <c r="I51" s="16">
        <f t="shared" si="73"/>
        <v>83.594999999999999</v>
      </c>
      <c r="J51" s="16">
        <f t="shared" si="74"/>
        <v>78.269799999999975</v>
      </c>
      <c r="K51" s="48">
        <f t="shared" si="75"/>
        <v>74.707599999999985</v>
      </c>
      <c r="L51" s="48">
        <f t="shared" si="76"/>
        <v>79.868200000000002</v>
      </c>
      <c r="M51" s="211" t="str">
        <f t="shared" si="77"/>
        <v>3.73±0.5</v>
      </c>
      <c r="N51" s="211" t="str">
        <f t="shared" si="78"/>
        <v>-1.60±0.9</v>
      </c>
      <c r="O51" s="212">
        <v>99.99</v>
      </c>
      <c r="P51" s="379"/>
      <c r="Q51" s="214"/>
    </row>
    <row r="52" spans="1:39" ht="15.75" customHeight="1">
      <c r="A52" s="206" t="s">
        <v>207</v>
      </c>
      <c r="B52" s="207" t="s">
        <v>208</v>
      </c>
      <c r="C52" s="208" t="s">
        <v>53</v>
      </c>
      <c r="G52" s="242" t="s">
        <v>87</v>
      </c>
      <c r="H52" s="243" t="s">
        <v>209</v>
      </c>
      <c r="I52" s="223">
        <f t="shared" si="73"/>
        <v>81.430000000000007</v>
      </c>
      <c r="J52" s="223">
        <f t="shared" si="74"/>
        <v>81.441999999999993</v>
      </c>
      <c r="K52" s="224">
        <f t="shared" si="75"/>
        <v>81.260000000000005</v>
      </c>
      <c r="L52" s="244" t="s">
        <v>57</v>
      </c>
      <c r="M52" s="225" t="str">
        <f t="shared" si="77"/>
        <v>0.17±0.0</v>
      </c>
      <c r="N52" s="225" t="str">
        <f t="shared" si="78"/>
        <v>0.18±0.0</v>
      </c>
      <c r="O52" s="226">
        <v>98.11</v>
      </c>
      <c r="P52" s="213" t="s">
        <v>26</v>
      </c>
      <c r="Q52" s="214"/>
    </row>
    <row r="53" spans="1:39" ht="15.75" customHeight="1">
      <c r="A53" s="218" t="s">
        <v>210</v>
      </c>
      <c r="B53" s="219" t="s">
        <v>211</v>
      </c>
      <c r="C53" s="220" t="s">
        <v>55</v>
      </c>
      <c r="G53" s="245" t="s">
        <v>39</v>
      </c>
      <c r="H53" s="230" t="s">
        <v>212</v>
      </c>
      <c r="I53" s="231">
        <f t="shared" ref="I53:I54" si="79">P20</f>
        <v>64.228333333333339</v>
      </c>
      <c r="J53" s="231">
        <f t="shared" ref="J53:J54" si="80">Y20</f>
        <v>64.608333333333334</v>
      </c>
      <c r="K53" s="232">
        <f t="shared" ref="K53:K54" si="81">AH20</f>
        <v>65.053333333333327</v>
      </c>
      <c r="L53" s="246" t="s">
        <v>57</v>
      </c>
      <c r="M53" s="233" t="str">
        <f t="shared" ref="M53:M54" si="82">TEXT(AR20,"0.00")&amp;"±"&amp;TEXT(AS20,"0.0")</f>
        <v>-0.82±2.4</v>
      </c>
      <c r="N53" s="233" t="str">
        <f t="shared" ref="N53:N54" si="83">TEXT(AT20,"0.00")&amp;"±"&amp;TEXT(AU20,"0.0")</f>
        <v>-0.44±2.6</v>
      </c>
      <c r="O53" s="234">
        <v>64.31</v>
      </c>
      <c r="P53" s="378" t="s">
        <v>213</v>
      </c>
      <c r="Q53" s="214"/>
      <c r="AB53" s="1"/>
      <c r="AM53" s="247"/>
    </row>
    <row r="54" spans="1:39" ht="15.75" customHeight="1">
      <c r="A54" s="206" t="s">
        <v>214</v>
      </c>
      <c r="B54" s="386" t="s">
        <v>215</v>
      </c>
      <c r="C54" s="208" t="s">
        <v>54</v>
      </c>
      <c r="G54" s="242" t="s">
        <v>90</v>
      </c>
      <c r="H54" s="243" t="s">
        <v>216</v>
      </c>
      <c r="I54" s="223">
        <f t="shared" si="79"/>
        <v>72.091250000000002</v>
      </c>
      <c r="J54" s="223">
        <f t="shared" si="80"/>
        <v>71.982499999999987</v>
      </c>
      <c r="K54" s="224">
        <f t="shared" si="81"/>
        <v>71.818750000000009</v>
      </c>
      <c r="L54" s="244" t="s">
        <v>57</v>
      </c>
      <c r="M54" s="225" t="str">
        <f t="shared" si="82"/>
        <v>0.27±0.5</v>
      </c>
      <c r="N54" s="225" t="str">
        <f t="shared" si="83"/>
        <v>0.16±0.7</v>
      </c>
      <c r="O54" s="226">
        <v>90.42</v>
      </c>
      <c r="P54" s="379"/>
      <c r="Q54" s="214"/>
      <c r="AB54" s="1"/>
    </row>
    <row r="55" spans="1:39" ht="15.75" customHeight="1">
      <c r="A55" s="218" t="s">
        <v>217</v>
      </c>
      <c r="B55" s="361"/>
      <c r="C55" s="220" t="s">
        <v>50</v>
      </c>
      <c r="G55" s="245" t="s">
        <v>96</v>
      </c>
      <c r="H55" s="248" t="s">
        <v>218</v>
      </c>
      <c r="I55" s="231">
        <f>P24</f>
        <v>50.127499999999991</v>
      </c>
      <c r="J55" s="231">
        <f>Y24</f>
        <v>50.173750000000013</v>
      </c>
      <c r="K55" s="232">
        <f>AH24</f>
        <v>49.576250000000002</v>
      </c>
      <c r="L55" s="246" t="s">
        <v>57</v>
      </c>
      <c r="M55" s="233" t="str">
        <f t="shared" ref="M55:M62" si="84">TEXT(AR23,"0.00")&amp;"±"&amp;TEXT(AS23,"0.0")</f>
        <v>0.16±0.8</v>
      </c>
      <c r="N55" s="233" t="str">
        <f t="shared" ref="N55:N62" si="85">TEXT(AT23,"0.00")&amp;"±"&amp;TEXT(AU23,"0.0")</f>
        <v>0.23±0.8</v>
      </c>
      <c r="O55" s="234">
        <v>94.67</v>
      </c>
      <c r="P55" s="380" t="s">
        <v>219</v>
      </c>
      <c r="Q55" s="249"/>
    </row>
    <row r="56" spans="1:39" ht="15.75" customHeight="1">
      <c r="A56" s="206" t="s">
        <v>51</v>
      </c>
      <c r="B56" s="386" t="s">
        <v>220</v>
      </c>
      <c r="C56" s="208" t="s">
        <v>57</v>
      </c>
      <c r="G56" s="240" t="s">
        <v>99</v>
      </c>
      <c r="H56" s="241" t="s">
        <v>221</v>
      </c>
      <c r="I56" s="16">
        <f>P23</f>
        <v>55.06</v>
      </c>
      <c r="J56" s="16">
        <f>Y23</f>
        <v>55.137500000000003</v>
      </c>
      <c r="K56" s="48">
        <f>AH23</f>
        <v>54.905000000000001</v>
      </c>
      <c r="L56" s="8" t="s">
        <v>57</v>
      </c>
      <c r="M56" s="211" t="str">
        <f t="shared" si="84"/>
        <v>0.55±0.7</v>
      </c>
      <c r="N56" s="211" t="str">
        <f t="shared" si="85"/>
        <v>0.60±0.7</v>
      </c>
      <c r="O56" s="212">
        <v>85.44</v>
      </c>
      <c r="P56" s="381"/>
      <c r="Q56" s="249"/>
    </row>
    <row r="57" spans="1:39" ht="15.75" customHeight="1">
      <c r="A57" s="218" t="s">
        <v>52</v>
      </c>
      <c r="B57" s="325"/>
      <c r="C57" s="220" t="s">
        <v>57</v>
      </c>
      <c r="G57" s="240" t="s">
        <v>49</v>
      </c>
      <c r="H57" s="241" t="s">
        <v>222</v>
      </c>
      <c r="I57" s="16">
        <f t="shared" ref="I57:I62" si="86">P25</f>
        <v>56.357500000000002</v>
      </c>
      <c r="J57" s="16">
        <f t="shared" ref="J57:J62" si="87">Y25</f>
        <v>56.226250000000007</v>
      </c>
      <c r="K57" s="48">
        <f t="shared" ref="K57:K62" si="88">AH25</f>
        <v>56.184999999999995</v>
      </c>
      <c r="L57" s="8" t="s">
        <v>57</v>
      </c>
      <c r="M57" s="211" t="str">
        <f t="shared" si="84"/>
        <v>0.17±1.3</v>
      </c>
      <c r="N57" s="211" t="str">
        <f t="shared" si="85"/>
        <v>0.04±1.0</v>
      </c>
      <c r="O57" s="212">
        <v>97.9</v>
      </c>
      <c r="P57" s="381"/>
      <c r="Q57" s="249"/>
      <c r="AB57" s="1"/>
    </row>
    <row r="58" spans="1:39" ht="15.75" customHeight="1">
      <c r="A58" s="206" t="s">
        <v>223</v>
      </c>
      <c r="B58" s="386" t="s">
        <v>224</v>
      </c>
      <c r="C58" s="208" t="s">
        <v>139</v>
      </c>
      <c r="G58" s="240" t="s">
        <v>225</v>
      </c>
      <c r="H58" s="241" t="s">
        <v>226</v>
      </c>
      <c r="I58" s="16">
        <f t="shared" si="86"/>
        <v>53.573749999999997</v>
      </c>
      <c r="J58" s="16">
        <f t="shared" si="87"/>
        <v>53.470000000000006</v>
      </c>
      <c r="K58" s="48">
        <f t="shared" si="88"/>
        <v>52.373750000000001</v>
      </c>
      <c r="L58" s="8" t="s">
        <v>57</v>
      </c>
      <c r="M58" s="211" t="str">
        <f t="shared" si="84"/>
        <v>1.20±1.5</v>
      </c>
      <c r="N58" s="211" t="str">
        <f t="shared" si="85"/>
        <v>1.10±1.4</v>
      </c>
      <c r="O58" s="212">
        <v>90.32</v>
      </c>
      <c r="P58" s="381"/>
      <c r="Q58" s="249"/>
      <c r="AB58" s="1"/>
    </row>
    <row r="59" spans="1:39" ht="15.75" customHeight="1">
      <c r="A59" s="218" t="s">
        <v>227</v>
      </c>
      <c r="B59" s="325"/>
      <c r="C59" s="220" t="s">
        <v>140</v>
      </c>
      <c r="G59" s="240" t="s">
        <v>228</v>
      </c>
      <c r="H59" s="241" t="s">
        <v>229</v>
      </c>
      <c r="I59" s="16">
        <f t="shared" si="86"/>
        <v>61.695</v>
      </c>
      <c r="J59" s="16">
        <f t="shared" si="87"/>
        <v>61.637499999999996</v>
      </c>
      <c r="K59" s="48">
        <f t="shared" si="88"/>
        <v>62.011250000000004</v>
      </c>
      <c r="L59" s="8" t="s">
        <v>57</v>
      </c>
      <c r="M59" s="211" t="str">
        <f t="shared" si="84"/>
        <v>-0.32±3.3</v>
      </c>
      <c r="N59" s="211" t="str">
        <f t="shared" si="85"/>
        <v>-0.37±2.9</v>
      </c>
      <c r="O59" s="212">
        <v>94.36</v>
      </c>
      <c r="P59" s="381"/>
      <c r="Q59" s="249"/>
      <c r="AB59" s="1"/>
    </row>
    <row r="60" spans="1:39" ht="15.75" customHeight="1">
      <c r="A60" s="206" t="s">
        <v>230</v>
      </c>
      <c r="B60" s="207" t="s">
        <v>231</v>
      </c>
      <c r="C60" s="208" t="s">
        <v>141</v>
      </c>
      <c r="G60" s="240" t="s">
        <v>232</v>
      </c>
      <c r="H60" s="241" t="s">
        <v>233</v>
      </c>
      <c r="I60" s="16">
        <f t="shared" si="86"/>
        <v>62.236250000000005</v>
      </c>
      <c r="J60" s="16">
        <f t="shared" si="87"/>
        <v>62.11</v>
      </c>
      <c r="K60" s="48">
        <f t="shared" si="88"/>
        <v>61.42</v>
      </c>
      <c r="L60" s="8" t="s">
        <v>57</v>
      </c>
      <c r="M60" s="211" t="str">
        <f t="shared" si="84"/>
        <v>0.82±0.6</v>
      </c>
      <c r="N60" s="211" t="str">
        <f t="shared" si="85"/>
        <v>0.69±0.6</v>
      </c>
      <c r="O60" s="212">
        <v>82.82</v>
      </c>
      <c r="P60" s="381"/>
      <c r="Q60" s="214"/>
    </row>
    <row r="61" spans="1:39" ht="15.75" customHeight="1">
      <c r="A61" s="218" t="s">
        <v>234</v>
      </c>
      <c r="B61" s="385" t="s">
        <v>235</v>
      </c>
      <c r="C61" s="220" t="s">
        <v>137</v>
      </c>
      <c r="G61" s="240" t="s">
        <v>123</v>
      </c>
      <c r="H61" s="241" t="s">
        <v>236</v>
      </c>
      <c r="I61" s="16">
        <f t="shared" si="86"/>
        <v>42.201250000000002</v>
      </c>
      <c r="J61" s="16">
        <f t="shared" si="87"/>
        <v>42.192499999999995</v>
      </c>
      <c r="K61" s="48">
        <f t="shared" si="88"/>
        <v>42.342500000000001</v>
      </c>
      <c r="L61" s="8" t="s">
        <v>57</v>
      </c>
      <c r="M61" s="211" t="str">
        <f t="shared" si="84"/>
        <v>-0.14±1.2</v>
      </c>
      <c r="N61" s="211" t="str">
        <f t="shared" si="85"/>
        <v>-0.15±0.9</v>
      </c>
      <c r="O61" s="212">
        <v>97.81</v>
      </c>
      <c r="P61" s="381"/>
      <c r="Q61" s="214"/>
    </row>
    <row r="62" spans="1:39" ht="15.75" customHeight="1">
      <c r="A62" s="206" t="s">
        <v>237</v>
      </c>
      <c r="B62" s="325"/>
      <c r="C62" s="208" t="s">
        <v>138</v>
      </c>
      <c r="E62" s="19"/>
      <c r="G62" s="242" t="s">
        <v>132</v>
      </c>
      <c r="H62" s="222" t="s">
        <v>238</v>
      </c>
      <c r="I62" s="223">
        <f t="shared" si="86"/>
        <v>61.747499999999995</v>
      </c>
      <c r="J62" s="223">
        <f t="shared" si="87"/>
        <v>61.958750000000002</v>
      </c>
      <c r="K62" s="224">
        <f t="shared" si="88"/>
        <v>61.752499999999991</v>
      </c>
      <c r="L62" s="244" t="s">
        <v>57</v>
      </c>
      <c r="M62" s="225" t="str">
        <f t="shared" si="84"/>
        <v>0.00±1.1</v>
      </c>
      <c r="N62" s="225" t="str">
        <f t="shared" si="85"/>
        <v>0.21±0.6</v>
      </c>
      <c r="O62" s="226">
        <v>87.24</v>
      </c>
      <c r="P62" s="379"/>
      <c r="Q62" s="19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pans="1:39" ht="15.75" customHeight="1">
      <c r="A63" s="250" t="s">
        <v>239</v>
      </c>
      <c r="B63" s="251" t="s">
        <v>240</v>
      </c>
      <c r="C63" s="252" t="s">
        <v>169</v>
      </c>
      <c r="E63" s="19"/>
      <c r="F63" s="19"/>
      <c r="G63" s="245" t="s">
        <v>144</v>
      </c>
      <c r="H63" s="230" t="s">
        <v>241</v>
      </c>
      <c r="I63" s="231">
        <f t="shared" ref="I63:I64" si="89">P32</f>
        <v>23.55</v>
      </c>
      <c r="J63" s="231">
        <f t="shared" ref="J63:J64" si="90">Y32</f>
        <v>23.602000000000004</v>
      </c>
      <c r="K63" s="232">
        <f t="shared" ref="K63:K64" si="91">AH32</f>
        <v>23.622</v>
      </c>
      <c r="L63" s="246" t="s">
        <v>57</v>
      </c>
      <c r="M63" s="233" t="str">
        <f t="shared" ref="M63:M64" si="92">TEXT(AR32,"0.00")&amp;"±"&amp;TEXT(AS32,"0.0")</f>
        <v>-0.07±0.2</v>
      </c>
      <c r="N63" s="233" t="str">
        <f t="shared" ref="N63:N64" si="93">TEXT(AT32,"0.00")&amp;"±"&amp;TEXT(AU32,"0.0")</f>
        <v>-0.02±0.3</v>
      </c>
      <c r="O63" s="234">
        <v>98.08</v>
      </c>
      <c r="P63" s="378" t="s">
        <v>242</v>
      </c>
      <c r="Q63" s="19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1:39" ht="12.75">
      <c r="A64" s="19"/>
      <c r="B64" s="19"/>
      <c r="C64" s="19"/>
      <c r="D64" s="19"/>
      <c r="E64" s="19"/>
      <c r="F64" s="19"/>
      <c r="G64" s="242" t="s">
        <v>155</v>
      </c>
      <c r="H64" s="243" t="s">
        <v>221</v>
      </c>
      <c r="I64" s="223">
        <f t="shared" si="89"/>
        <v>17.248000000000001</v>
      </c>
      <c r="J64" s="223">
        <f t="shared" si="90"/>
        <v>17.356000000000002</v>
      </c>
      <c r="K64" s="224">
        <f t="shared" si="91"/>
        <v>17.393999999999998</v>
      </c>
      <c r="L64" s="244" t="s">
        <v>57</v>
      </c>
      <c r="M64" s="225" t="str">
        <f t="shared" si="92"/>
        <v>-0.15±0.3</v>
      </c>
      <c r="N64" s="225" t="str">
        <f t="shared" si="93"/>
        <v>-0.04±0.1</v>
      </c>
      <c r="O64" s="226">
        <v>95.11</v>
      </c>
      <c r="P64" s="379"/>
      <c r="Q64" s="19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pans="1:39" ht="12.75">
      <c r="A65" s="19"/>
      <c r="B65" s="19"/>
      <c r="C65" s="19"/>
      <c r="D65" s="19"/>
      <c r="E65" s="19"/>
      <c r="F65" s="19"/>
      <c r="G65" s="253" t="s">
        <v>170</v>
      </c>
      <c r="H65" s="254" t="s">
        <v>209</v>
      </c>
      <c r="I65" s="255">
        <f>P35</f>
        <v>44.81</v>
      </c>
      <c r="J65" s="255">
        <f>Y35</f>
        <v>44.800000000000004</v>
      </c>
      <c r="K65" s="256">
        <f>AH35</f>
        <v>44.04</v>
      </c>
      <c r="L65" s="257" t="s">
        <v>57</v>
      </c>
      <c r="M65" s="258" t="str">
        <f>TEXT(AR35,"0.00")&amp;"±"&amp;TEXT(AS35,"0.0")</f>
        <v>0.77±0.0</v>
      </c>
      <c r="N65" s="258" t="str">
        <f>TEXT(AT35,"0.00")&amp;"±"&amp;TEXT(AU35,"0.0")</f>
        <v>0.76±0.0</v>
      </c>
      <c r="O65" s="259">
        <v>98.08</v>
      </c>
      <c r="P65" s="260" t="s">
        <v>239</v>
      </c>
      <c r="Q65" s="19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pans="1:39" ht="12.75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1:39" ht="12.75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1:39" ht="12.75">
      <c r="A68" s="382" t="s">
        <v>243</v>
      </c>
      <c r="B68" s="355"/>
      <c r="C68" s="355"/>
      <c r="D68" s="355"/>
      <c r="E68" s="355"/>
      <c r="F68" s="355"/>
      <c r="G68" s="355"/>
      <c r="H68" s="355"/>
      <c r="I68" s="355"/>
      <c r="J68" s="355"/>
      <c r="K68" s="355"/>
      <c r="L68" s="355"/>
      <c r="M68" s="355"/>
      <c r="N68" s="355"/>
      <c r="O68" s="355"/>
      <c r="P68" s="355"/>
      <c r="Q68" s="355"/>
      <c r="R68" s="355"/>
      <c r="S68" s="355"/>
      <c r="T68" s="355"/>
      <c r="U68" s="355"/>
      <c r="V68" s="355"/>
      <c r="W68" s="355"/>
      <c r="X68" s="355"/>
      <c r="Y68" s="356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pans="1:39" ht="12.75">
      <c r="A69" s="393" t="s">
        <v>0</v>
      </c>
      <c r="B69" s="414" t="s">
        <v>244</v>
      </c>
      <c r="C69" s="335"/>
      <c r="D69" s="335"/>
      <c r="E69" s="336"/>
      <c r="F69" s="387" t="s">
        <v>70</v>
      </c>
      <c r="G69" s="335"/>
      <c r="H69" s="335"/>
      <c r="I69" s="389"/>
      <c r="J69" s="387" t="s">
        <v>86</v>
      </c>
      <c r="K69" s="335"/>
      <c r="L69" s="335"/>
      <c r="M69" s="336"/>
      <c r="N69" s="388" t="s">
        <v>245</v>
      </c>
      <c r="O69" s="335"/>
      <c r="P69" s="335"/>
      <c r="Q69" s="389"/>
      <c r="R69" s="411" t="s">
        <v>246</v>
      </c>
      <c r="S69" s="335"/>
      <c r="T69" s="335"/>
      <c r="U69" s="336"/>
      <c r="V69" s="412" t="s">
        <v>94</v>
      </c>
      <c r="W69" s="335"/>
      <c r="X69" s="335"/>
      <c r="Y69" s="389"/>
      <c r="Z69" s="19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:39" ht="12.75">
      <c r="A70" s="392"/>
      <c r="B70" s="329" t="s">
        <v>25</v>
      </c>
      <c r="C70" s="331"/>
      <c r="D70" s="353" t="s">
        <v>26</v>
      </c>
      <c r="E70" s="331"/>
      <c r="F70" s="329" t="s">
        <v>25</v>
      </c>
      <c r="G70" s="331"/>
      <c r="H70" s="353" t="s">
        <v>26</v>
      </c>
      <c r="I70" s="390"/>
      <c r="J70" s="329" t="s">
        <v>25</v>
      </c>
      <c r="K70" s="331"/>
      <c r="L70" s="353" t="s">
        <v>26</v>
      </c>
      <c r="M70" s="331"/>
      <c r="N70" s="329" t="s">
        <v>25</v>
      </c>
      <c r="O70" s="331"/>
      <c r="P70" s="353" t="s">
        <v>26</v>
      </c>
      <c r="Q70" s="390"/>
      <c r="R70" s="413" t="s">
        <v>25</v>
      </c>
      <c r="S70" s="331"/>
      <c r="T70" s="353" t="s">
        <v>26</v>
      </c>
      <c r="U70" s="331"/>
      <c r="V70" s="329" t="s">
        <v>25</v>
      </c>
      <c r="W70" s="331"/>
      <c r="X70" s="353" t="s">
        <v>26</v>
      </c>
      <c r="Y70" s="390"/>
      <c r="Z70" s="19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:39" ht="12.75">
      <c r="A71" s="392"/>
      <c r="B71" s="50" t="s">
        <v>16</v>
      </c>
      <c r="C71" s="50" t="s">
        <v>17</v>
      </c>
      <c r="D71" s="50" t="s">
        <v>16</v>
      </c>
      <c r="E71" s="50" t="s">
        <v>17</v>
      </c>
      <c r="F71" s="50" t="s">
        <v>16</v>
      </c>
      <c r="G71" s="50" t="s">
        <v>17</v>
      </c>
      <c r="H71" s="50" t="s">
        <v>16</v>
      </c>
      <c r="I71" s="261" t="s">
        <v>17</v>
      </c>
      <c r="J71" s="50" t="s">
        <v>16</v>
      </c>
      <c r="K71" s="50" t="s">
        <v>17</v>
      </c>
      <c r="L71" s="50" t="s">
        <v>16</v>
      </c>
      <c r="M71" s="50" t="s">
        <v>17</v>
      </c>
      <c r="N71" s="50" t="s">
        <v>16</v>
      </c>
      <c r="O71" s="50" t="s">
        <v>17</v>
      </c>
      <c r="P71" s="50" t="s">
        <v>16</v>
      </c>
      <c r="Q71" s="261" t="s">
        <v>17</v>
      </c>
      <c r="R71" s="262" t="s">
        <v>16</v>
      </c>
      <c r="S71" s="50" t="s">
        <v>17</v>
      </c>
      <c r="T71" s="50" t="s">
        <v>16</v>
      </c>
      <c r="U71" s="50" t="s">
        <v>17</v>
      </c>
      <c r="V71" s="50" t="s">
        <v>16</v>
      </c>
      <c r="W71" s="50" t="s">
        <v>17</v>
      </c>
      <c r="X71" s="50" t="s">
        <v>16</v>
      </c>
      <c r="Y71" s="261" t="s">
        <v>17</v>
      </c>
      <c r="Z71" s="19"/>
    </row>
    <row r="72" spans="1:39" ht="12.75">
      <c r="A72" s="391" t="s">
        <v>27</v>
      </c>
      <c r="B72" s="263">
        <v>89.87</v>
      </c>
      <c r="C72" s="263">
        <v>99.74</v>
      </c>
      <c r="D72" s="263">
        <v>56.56</v>
      </c>
      <c r="E72" s="263">
        <v>79.09</v>
      </c>
      <c r="F72" s="264">
        <v>88.67</v>
      </c>
      <c r="G72" s="264">
        <v>99.66</v>
      </c>
      <c r="H72" s="264">
        <v>55.01</v>
      </c>
      <c r="I72" s="265">
        <v>77.989999999999995</v>
      </c>
      <c r="J72" s="264">
        <v>91.28</v>
      </c>
      <c r="K72" s="264">
        <v>99.83</v>
      </c>
      <c r="L72" s="264">
        <v>47.99</v>
      </c>
      <c r="M72" s="264">
        <v>72.569999999999993</v>
      </c>
      <c r="N72" s="266">
        <v>86.98</v>
      </c>
      <c r="O72" s="267">
        <v>99.52</v>
      </c>
      <c r="P72" s="267">
        <v>52.82</v>
      </c>
      <c r="Q72" s="268">
        <v>76.33</v>
      </c>
      <c r="R72" s="267">
        <v>90.25</v>
      </c>
      <c r="S72" s="267">
        <v>99.79</v>
      </c>
      <c r="T72" s="267">
        <v>46.64</v>
      </c>
      <c r="U72" s="269">
        <v>71.510000000000005</v>
      </c>
      <c r="V72" s="270">
        <v>89.97</v>
      </c>
      <c r="W72" s="270">
        <v>99.74</v>
      </c>
      <c r="X72" s="270">
        <v>49.09</v>
      </c>
      <c r="Y72" s="271">
        <v>73.94</v>
      </c>
      <c r="Z72" s="96"/>
    </row>
    <row r="73" spans="1:39" ht="12.75">
      <c r="A73" s="392"/>
      <c r="B73" s="263">
        <v>90.8</v>
      </c>
      <c r="C73" s="263">
        <v>99.78</v>
      </c>
      <c r="D73" s="263">
        <v>56.56</v>
      </c>
      <c r="E73" s="263">
        <v>79.09</v>
      </c>
      <c r="F73" s="264">
        <v>90.37</v>
      </c>
      <c r="G73" s="264">
        <v>99.77</v>
      </c>
      <c r="H73" s="264">
        <v>54.85</v>
      </c>
      <c r="I73" s="265">
        <v>77.86</v>
      </c>
      <c r="J73" s="264">
        <v>91.42</v>
      </c>
      <c r="K73" s="264">
        <v>99.77</v>
      </c>
      <c r="L73" s="264">
        <v>48.29</v>
      </c>
      <c r="M73" s="264">
        <v>72.599999999999994</v>
      </c>
      <c r="N73" s="266">
        <v>89.14</v>
      </c>
      <c r="O73" s="267">
        <v>99.71</v>
      </c>
      <c r="P73" s="267">
        <v>52.53</v>
      </c>
      <c r="Q73" s="268">
        <v>76.08</v>
      </c>
      <c r="R73" s="267">
        <v>90.52</v>
      </c>
      <c r="S73" s="267">
        <v>99.8</v>
      </c>
      <c r="T73" s="267">
        <v>47.17</v>
      </c>
      <c r="U73" s="269">
        <v>71.67</v>
      </c>
      <c r="V73" s="270">
        <v>90.01</v>
      </c>
      <c r="W73" s="270">
        <v>99.77</v>
      </c>
      <c r="X73" s="270">
        <v>48.62</v>
      </c>
      <c r="Y73" s="271">
        <v>73.739999999999995</v>
      </c>
      <c r="Z73" s="96"/>
    </row>
    <row r="74" spans="1:39" ht="12.75">
      <c r="A74" s="392"/>
      <c r="B74" s="263">
        <v>89.9</v>
      </c>
      <c r="C74" s="263">
        <v>99.7</v>
      </c>
      <c r="D74" s="263">
        <v>56.56</v>
      </c>
      <c r="E74" s="263">
        <v>79.09</v>
      </c>
      <c r="F74" s="264">
        <v>89.91</v>
      </c>
      <c r="G74" s="264">
        <v>99.72</v>
      </c>
      <c r="H74" s="264">
        <v>55.1</v>
      </c>
      <c r="I74" s="265">
        <v>78.040000000000006</v>
      </c>
      <c r="J74" s="264">
        <v>90.75</v>
      </c>
      <c r="K74" s="264">
        <v>99.74</v>
      </c>
      <c r="L74" s="264">
        <v>47.54</v>
      </c>
      <c r="M74" s="264">
        <v>72.23</v>
      </c>
      <c r="N74" s="266">
        <v>87.87</v>
      </c>
      <c r="O74" s="267">
        <v>99.65</v>
      </c>
      <c r="P74" s="267">
        <v>52.67</v>
      </c>
      <c r="Q74" s="268">
        <v>76.209999999999994</v>
      </c>
      <c r="R74" s="267">
        <v>90.94</v>
      </c>
      <c r="S74" s="267">
        <v>99.73</v>
      </c>
      <c r="T74" s="267">
        <v>46.33</v>
      </c>
      <c r="U74" s="269">
        <v>70.989999999999995</v>
      </c>
      <c r="V74" s="270">
        <v>88.14</v>
      </c>
      <c r="W74" s="270">
        <v>99.7</v>
      </c>
      <c r="X74" s="270">
        <v>49.3</v>
      </c>
      <c r="Y74" s="271">
        <v>74.2</v>
      </c>
      <c r="Z74" s="96"/>
    </row>
    <row r="75" spans="1:39" ht="12.75">
      <c r="A75" s="392"/>
      <c r="B75" s="263">
        <v>90.12</v>
      </c>
      <c r="C75" s="263">
        <v>99.83</v>
      </c>
      <c r="D75" s="263">
        <v>56.56</v>
      </c>
      <c r="E75" s="263">
        <v>79.09</v>
      </c>
      <c r="F75" s="264">
        <v>89.71</v>
      </c>
      <c r="G75" s="264">
        <v>99.81</v>
      </c>
      <c r="H75" s="264">
        <v>54.83</v>
      </c>
      <c r="I75" s="265">
        <v>77.790000000000006</v>
      </c>
      <c r="J75" s="264">
        <v>90.83</v>
      </c>
      <c r="K75" s="264">
        <v>99.79</v>
      </c>
      <c r="L75" s="264">
        <v>48.1</v>
      </c>
      <c r="M75" s="264">
        <v>72.62</v>
      </c>
      <c r="N75" s="266">
        <v>88.78</v>
      </c>
      <c r="O75" s="267">
        <v>99.79</v>
      </c>
      <c r="P75" s="267">
        <v>52.56</v>
      </c>
      <c r="Q75" s="268">
        <v>76.03</v>
      </c>
      <c r="R75" s="267">
        <v>90.02</v>
      </c>
      <c r="S75" s="267">
        <v>99.7</v>
      </c>
      <c r="T75" s="267">
        <v>46.6</v>
      </c>
      <c r="U75" s="269">
        <v>71.33</v>
      </c>
      <c r="V75" s="270">
        <v>90.79</v>
      </c>
      <c r="W75" s="270">
        <v>99.82</v>
      </c>
      <c r="X75" s="270">
        <v>49.2</v>
      </c>
      <c r="Y75" s="271">
        <v>74.28</v>
      </c>
      <c r="Z75" s="96"/>
    </row>
    <row r="76" spans="1:39" ht="12.75">
      <c r="A76" s="392"/>
      <c r="B76" s="263">
        <v>89.01</v>
      </c>
      <c r="C76" s="263">
        <v>99.68</v>
      </c>
      <c r="D76" s="263">
        <v>56.56</v>
      </c>
      <c r="E76" s="263">
        <v>79.09</v>
      </c>
      <c r="F76" s="264">
        <v>88.26</v>
      </c>
      <c r="G76" s="264">
        <v>99.56</v>
      </c>
      <c r="H76" s="264">
        <v>54.49</v>
      </c>
      <c r="I76" s="265">
        <v>77.45</v>
      </c>
      <c r="J76" s="264">
        <v>91.03</v>
      </c>
      <c r="K76" s="264">
        <v>99.75</v>
      </c>
      <c r="L76" s="264">
        <v>48.11</v>
      </c>
      <c r="M76" s="264">
        <v>72.69</v>
      </c>
      <c r="N76" s="266">
        <v>87.68</v>
      </c>
      <c r="O76" s="267">
        <v>99.61</v>
      </c>
      <c r="P76" s="267">
        <v>52.45</v>
      </c>
      <c r="Q76" s="268">
        <v>76.03</v>
      </c>
      <c r="R76" s="267">
        <v>90.2</v>
      </c>
      <c r="S76" s="267">
        <v>99.69</v>
      </c>
      <c r="T76" s="267">
        <v>47.01</v>
      </c>
      <c r="U76" s="269">
        <v>71.66</v>
      </c>
      <c r="V76" s="270">
        <v>90.24</v>
      </c>
      <c r="W76" s="270">
        <v>99.81</v>
      </c>
      <c r="X76" s="270">
        <v>49.05</v>
      </c>
      <c r="Y76" s="271">
        <v>73.849999999999994</v>
      </c>
      <c r="Z76" s="96"/>
    </row>
    <row r="77" spans="1:39" ht="12.75">
      <c r="A77" s="272" t="s">
        <v>247</v>
      </c>
      <c r="B77" s="273">
        <f t="shared" ref="B77:Y77" si="94">AVERAGE(B72:B76)</f>
        <v>89.940000000000012</v>
      </c>
      <c r="C77" s="273">
        <f t="shared" si="94"/>
        <v>99.745999999999995</v>
      </c>
      <c r="D77" s="273">
        <f t="shared" si="94"/>
        <v>56.56</v>
      </c>
      <c r="E77" s="273">
        <f t="shared" si="94"/>
        <v>79.09</v>
      </c>
      <c r="F77" s="274">
        <f t="shared" si="94"/>
        <v>89.384</v>
      </c>
      <c r="G77" s="274">
        <f t="shared" si="94"/>
        <v>99.703999999999994</v>
      </c>
      <c r="H77" s="274">
        <f t="shared" si="94"/>
        <v>54.856000000000009</v>
      </c>
      <c r="I77" s="275">
        <f t="shared" si="94"/>
        <v>77.825999999999993</v>
      </c>
      <c r="J77" s="274">
        <f t="shared" si="94"/>
        <v>91.061999999999983</v>
      </c>
      <c r="K77" s="274">
        <f t="shared" si="94"/>
        <v>99.775999999999996</v>
      </c>
      <c r="L77" s="274">
        <f t="shared" si="94"/>
        <v>48.005999999999993</v>
      </c>
      <c r="M77" s="274">
        <f t="shared" si="94"/>
        <v>72.542000000000002</v>
      </c>
      <c r="N77" s="276">
        <f t="shared" si="94"/>
        <v>88.09</v>
      </c>
      <c r="O77" s="277">
        <f t="shared" si="94"/>
        <v>99.656000000000006</v>
      </c>
      <c r="P77" s="277">
        <f t="shared" si="94"/>
        <v>52.605999999999995</v>
      </c>
      <c r="Q77" s="278">
        <f t="shared" si="94"/>
        <v>76.135999999999996</v>
      </c>
      <c r="R77" s="277">
        <f t="shared" si="94"/>
        <v>90.385999999999996</v>
      </c>
      <c r="S77" s="277">
        <f t="shared" si="94"/>
        <v>99.74199999999999</v>
      </c>
      <c r="T77" s="277">
        <f t="shared" si="94"/>
        <v>46.749999999999993</v>
      </c>
      <c r="U77" s="279">
        <f t="shared" si="94"/>
        <v>71.431999999999988</v>
      </c>
      <c r="V77" s="280">
        <f t="shared" si="94"/>
        <v>89.830000000000013</v>
      </c>
      <c r="W77" s="280">
        <f t="shared" si="94"/>
        <v>99.768000000000001</v>
      </c>
      <c r="X77" s="280">
        <f t="shared" si="94"/>
        <v>49.052</v>
      </c>
      <c r="Y77" s="281">
        <f t="shared" si="94"/>
        <v>74.001999999999995</v>
      </c>
      <c r="Z77" s="96"/>
    </row>
    <row r="78" spans="1:39" ht="12.75">
      <c r="A78" s="282" t="s">
        <v>248</v>
      </c>
      <c r="B78" s="283">
        <f t="shared" ref="B78:Y78" si="95">STDEV(B72:B76)</f>
        <v>0.64097581857664221</v>
      </c>
      <c r="C78" s="283">
        <f t="shared" si="95"/>
        <v>6.0663003552409701E-2</v>
      </c>
      <c r="D78" s="283">
        <f t="shared" si="95"/>
        <v>0</v>
      </c>
      <c r="E78" s="283">
        <f t="shared" si="95"/>
        <v>0</v>
      </c>
      <c r="F78" s="284">
        <f t="shared" si="95"/>
        <v>0.88435287074786884</v>
      </c>
      <c r="G78" s="284">
        <f t="shared" si="95"/>
        <v>9.8132563402776207E-2</v>
      </c>
      <c r="H78" s="284">
        <f t="shared" si="95"/>
        <v>0.23340951137432184</v>
      </c>
      <c r="I78" s="285">
        <f t="shared" si="95"/>
        <v>0.23265854809140282</v>
      </c>
      <c r="J78" s="284">
        <f t="shared" si="95"/>
        <v>0.28630403420140732</v>
      </c>
      <c r="K78" s="284">
        <f t="shared" si="95"/>
        <v>3.5777087639998061E-2</v>
      </c>
      <c r="L78" s="284">
        <f t="shared" si="95"/>
        <v>0.28183328405282454</v>
      </c>
      <c r="M78" s="284">
        <f t="shared" si="95"/>
        <v>0.17991664736760501</v>
      </c>
      <c r="N78" s="286">
        <f t="shared" si="95"/>
        <v>0.86994252683725981</v>
      </c>
      <c r="O78" s="287">
        <f t="shared" si="95"/>
        <v>0.10188228501560276</v>
      </c>
      <c r="P78" s="287">
        <f t="shared" si="95"/>
        <v>0.14328293687665594</v>
      </c>
      <c r="Q78" s="288">
        <f t="shared" si="95"/>
        <v>0.13107249902248577</v>
      </c>
      <c r="R78" s="287">
        <f t="shared" si="95"/>
        <v>0.35774292445833161</v>
      </c>
      <c r="S78" s="287">
        <f t="shared" si="95"/>
        <v>5.0695167422546726E-2</v>
      </c>
      <c r="T78" s="287">
        <f t="shared" si="95"/>
        <v>0.33726843908080156</v>
      </c>
      <c r="U78" s="289">
        <f t="shared" si="95"/>
        <v>0.28305476501907051</v>
      </c>
      <c r="V78" s="290">
        <f t="shared" si="95"/>
        <v>0.99972496217709894</v>
      </c>
      <c r="W78" s="290">
        <f t="shared" si="95"/>
        <v>4.969909455915511E-2</v>
      </c>
      <c r="X78" s="290">
        <f t="shared" si="95"/>
        <v>0.26051871333936927</v>
      </c>
      <c r="Y78" s="291">
        <f t="shared" si="95"/>
        <v>0.23026072179162824</v>
      </c>
      <c r="AA78" s="96"/>
    </row>
    <row r="79" spans="1:39" ht="12.75">
      <c r="A79" s="393" t="s">
        <v>249</v>
      </c>
      <c r="B79" s="292">
        <v>96.18</v>
      </c>
      <c r="C79" s="292">
        <v>99.96</v>
      </c>
      <c r="D79" s="292">
        <v>77.11</v>
      </c>
      <c r="E79" s="292">
        <v>93.56</v>
      </c>
      <c r="F79" s="293">
        <v>92.72</v>
      </c>
      <c r="G79" s="293">
        <v>99.8</v>
      </c>
      <c r="H79" s="293">
        <v>56</v>
      </c>
      <c r="I79" s="294">
        <v>79.849999999999994</v>
      </c>
      <c r="J79" s="293">
        <v>97.06</v>
      </c>
      <c r="K79" s="293">
        <v>99.99</v>
      </c>
      <c r="L79" s="295">
        <v>71.41</v>
      </c>
      <c r="M79" s="295">
        <v>90.42</v>
      </c>
      <c r="N79" s="296">
        <v>91.95</v>
      </c>
      <c r="O79" s="297">
        <v>99.71</v>
      </c>
      <c r="P79" s="297">
        <v>52.67</v>
      </c>
      <c r="Q79" s="298">
        <v>76.459999999999994</v>
      </c>
      <c r="R79" s="297">
        <v>96.64</v>
      </c>
      <c r="S79" s="297">
        <v>99.96</v>
      </c>
      <c r="T79" s="297">
        <v>68.5</v>
      </c>
      <c r="U79" s="299">
        <v>88.3</v>
      </c>
      <c r="V79" s="300">
        <v>96.93</v>
      </c>
      <c r="W79" s="300">
        <v>99.97</v>
      </c>
      <c r="X79" s="300">
        <v>72.23</v>
      </c>
      <c r="Y79" s="301">
        <v>91.12</v>
      </c>
      <c r="AA79" s="96"/>
    </row>
    <row r="80" spans="1:39" ht="12.75">
      <c r="A80" s="392"/>
      <c r="B80" s="302">
        <v>96.85</v>
      </c>
      <c r="C80" s="302">
        <v>99.96</v>
      </c>
      <c r="D80" s="302">
        <v>77.11</v>
      </c>
      <c r="E80" s="302">
        <v>93.56</v>
      </c>
      <c r="F80" s="303">
        <v>91.71</v>
      </c>
      <c r="G80" s="303">
        <v>99.62</v>
      </c>
      <c r="H80" s="303">
        <v>52.3</v>
      </c>
      <c r="I80" s="304">
        <v>76.56</v>
      </c>
      <c r="J80" s="303">
        <v>97.05</v>
      </c>
      <c r="K80" s="303">
        <v>99.96</v>
      </c>
      <c r="L80" s="264">
        <v>72.177999999999997</v>
      </c>
      <c r="M80" s="264">
        <v>90.951999999999998</v>
      </c>
      <c r="N80" s="305">
        <v>90.9</v>
      </c>
      <c r="O80" s="306">
        <v>99.46</v>
      </c>
      <c r="P80" s="306">
        <v>48.39</v>
      </c>
      <c r="Q80" s="307">
        <v>72.930000000000007</v>
      </c>
      <c r="R80" s="306">
        <v>96.45</v>
      </c>
      <c r="S80" s="306">
        <v>99.93</v>
      </c>
      <c r="T80" s="267">
        <v>68.528000000000006</v>
      </c>
      <c r="U80" s="269">
        <v>88.652000000000001</v>
      </c>
      <c r="V80" s="308">
        <v>96.77</v>
      </c>
      <c r="W80" s="308">
        <v>99.95</v>
      </c>
      <c r="X80" s="308">
        <v>72.61</v>
      </c>
      <c r="Y80" s="309">
        <v>91.08</v>
      </c>
      <c r="AA80" s="96"/>
    </row>
    <row r="81" spans="1:27" ht="12.75">
      <c r="A81" s="392"/>
      <c r="B81" s="302">
        <v>96.9</v>
      </c>
      <c r="C81" s="302">
        <v>99.98</v>
      </c>
      <c r="D81" s="302">
        <v>77.11</v>
      </c>
      <c r="E81" s="302">
        <v>93.56</v>
      </c>
      <c r="F81" s="303">
        <v>94.64</v>
      </c>
      <c r="G81" s="303">
        <v>99.83</v>
      </c>
      <c r="H81" s="303">
        <v>58.14</v>
      </c>
      <c r="I81" s="304">
        <v>80.989999999999995</v>
      </c>
      <c r="J81" s="303">
        <v>96.92</v>
      </c>
      <c r="K81" s="303">
        <v>99.94</v>
      </c>
      <c r="L81" s="264">
        <v>71.186000000000007</v>
      </c>
      <c r="M81" s="264">
        <v>90.381999999999906</v>
      </c>
      <c r="N81" s="305">
        <v>93.75</v>
      </c>
      <c r="O81" s="306">
        <v>99.74</v>
      </c>
      <c r="P81" s="306">
        <v>54.39</v>
      </c>
      <c r="Q81" s="307">
        <v>77.36</v>
      </c>
      <c r="R81" s="306">
        <v>96.37</v>
      </c>
      <c r="S81" s="306">
        <v>99.91</v>
      </c>
      <c r="T81" s="267" t="s">
        <v>250</v>
      </c>
      <c r="U81" s="269">
        <v>89.081999999999994</v>
      </c>
      <c r="V81" s="308">
        <v>96.89</v>
      </c>
      <c r="W81" s="308">
        <v>99.95</v>
      </c>
      <c r="X81" s="308">
        <v>71.02</v>
      </c>
      <c r="Y81" s="309">
        <v>90.34</v>
      </c>
      <c r="AA81" s="96"/>
    </row>
    <row r="82" spans="1:27" ht="12.75">
      <c r="A82" s="392"/>
      <c r="B82" s="302">
        <v>97.07</v>
      </c>
      <c r="C82" s="302">
        <v>99.99</v>
      </c>
      <c r="D82" s="302">
        <v>77.11</v>
      </c>
      <c r="E82" s="302">
        <v>93.56</v>
      </c>
      <c r="F82" s="303">
        <v>92.79</v>
      </c>
      <c r="G82" s="303">
        <v>99.82</v>
      </c>
      <c r="H82" s="303">
        <v>47.82</v>
      </c>
      <c r="I82" s="304">
        <v>73.02</v>
      </c>
      <c r="J82" s="303">
        <v>97.01</v>
      </c>
      <c r="K82" s="303">
        <v>99.97</v>
      </c>
      <c r="L82" s="264">
        <v>72.072000000000003</v>
      </c>
      <c r="M82" s="264">
        <v>90.751999999999995</v>
      </c>
      <c r="N82" s="305">
        <v>91.98</v>
      </c>
      <c r="O82" s="306">
        <v>99.83</v>
      </c>
      <c r="P82" s="306">
        <v>44.7</v>
      </c>
      <c r="Q82" s="307">
        <v>70.040000000000006</v>
      </c>
      <c r="R82" s="306">
        <v>96.44</v>
      </c>
      <c r="S82" s="306">
        <v>99.94</v>
      </c>
      <c r="T82" s="267">
        <v>68.97</v>
      </c>
      <c r="U82" s="269">
        <v>88.867999999999995</v>
      </c>
      <c r="V82" s="308">
        <v>96.82</v>
      </c>
      <c r="W82" s="308">
        <v>99.97</v>
      </c>
      <c r="X82" s="308">
        <v>73.349999999999994</v>
      </c>
      <c r="Y82" s="309">
        <v>91.64</v>
      </c>
      <c r="AA82" s="96"/>
    </row>
    <row r="83" spans="1:27" ht="12.75">
      <c r="A83" s="392"/>
      <c r="B83" s="302">
        <v>96.94</v>
      </c>
      <c r="C83" s="302">
        <v>99.98</v>
      </c>
      <c r="D83" s="302">
        <v>77.11</v>
      </c>
      <c r="E83" s="302">
        <v>93.56</v>
      </c>
      <c r="F83" s="303">
        <v>93.24</v>
      </c>
      <c r="G83" s="303">
        <v>99.83</v>
      </c>
      <c r="H83" s="303">
        <v>51.27</v>
      </c>
      <c r="I83" s="304">
        <v>76.8</v>
      </c>
      <c r="J83" s="303">
        <v>96.96</v>
      </c>
      <c r="K83" s="303">
        <v>99.93</v>
      </c>
      <c r="L83" s="264">
        <v>73.006</v>
      </c>
      <c r="M83" s="264">
        <v>91.477999999999994</v>
      </c>
      <c r="N83" s="305">
        <v>92.45</v>
      </c>
      <c r="O83" s="306">
        <v>99.75</v>
      </c>
      <c r="P83" s="306">
        <v>48.55</v>
      </c>
      <c r="Q83" s="307">
        <v>74.62</v>
      </c>
      <c r="R83" s="306">
        <v>96.37</v>
      </c>
      <c r="S83" s="306">
        <v>99.92</v>
      </c>
      <c r="T83" s="267">
        <v>68.688000000000002</v>
      </c>
      <c r="U83" s="269">
        <v>88.748000000000005</v>
      </c>
      <c r="V83" s="308">
        <v>96.56</v>
      </c>
      <c r="W83" s="308">
        <v>99.95</v>
      </c>
      <c r="X83" s="308">
        <v>73.349999999999994</v>
      </c>
      <c r="Y83" s="309">
        <v>91.64</v>
      </c>
      <c r="AA83" s="96"/>
    </row>
    <row r="84" spans="1:27" ht="12.75">
      <c r="A84" s="272" t="s">
        <v>247</v>
      </c>
      <c r="B84" s="273">
        <f t="shared" ref="B84:Y84" si="96">AVERAGE(B79:B83)</f>
        <v>96.787999999999997</v>
      </c>
      <c r="C84" s="273">
        <f t="shared" si="96"/>
        <v>99.974000000000004</v>
      </c>
      <c r="D84" s="273">
        <f t="shared" si="96"/>
        <v>77.11</v>
      </c>
      <c r="E84" s="273">
        <f t="shared" si="96"/>
        <v>93.56</v>
      </c>
      <c r="F84" s="274">
        <f t="shared" si="96"/>
        <v>93.02000000000001</v>
      </c>
      <c r="G84" s="274">
        <f t="shared" si="96"/>
        <v>99.78</v>
      </c>
      <c r="H84" s="274">
        <f t="shared" si="96"/>
        <v>53.105999999999995</v>
      </c>
      <c r="I84" s="275">
        <f t="shared" si="96"/>
        <v>77.443999999999988</v>
      </c>
      <c r="J84" s="310">
        <f t="shared" si="96"/>
        <v>97</v>
      </c>
      <c r="K84" s="274">
        <f t="shared" si="96"/>
        <v>99.957999999999998</v>
      </c>
      <c r="L84" s="274">
        <f t="shared" si="96"/>
        <v>71.970399999999998</v>
      </c>
      <c r="M84" s="274">
        <f t="shared" si="96"/>
        <v>90.79679999999999</v>
      </c>
      <c r="N84" s="276">
        <f t="shared" si="96"/>
        <v>92.206000000000003</v>
      </c>
      <c r="O84" s="276">
        <f t="shared" si="96"/>
        <v>99.697999999999993</v>
      </c>
      <c r="P84" s="276">
        <f t="shared" si="96"/>
        <v>49.739999999999995</v>
      </c>
      <c r="Q84" s="311">
        <f t="shared" si="96"/>
        <v>74.282000000000011</v>
      </c>
      <c r="R84" s="277">
        <f t="shared" si="96"/>
        <v>96.454000000000008</v>
      </c>
      <c r="S84" s="276">
        <f t="shared" si="96"/>
        <v>99.931999999999988</v>
      </c>
      <c r="T84" s="276">
        <f t="shared" si="96"/>
        <v>68.671500000000009</v>
      </c>
      <c r="U84" s="276">
        <f t="shared" si="96"/>
        <v>88.72999999999999</v>
      </c>
      <c r="V84" s="280">
        <f t="shared" si="96"/>
        <v>96.793999999999997</v>
      </c>
      <c r="W84" s="280">
        <f t="shared" si="96"/>
        <v>99.957999999999998</v>
      </c>
      <c r="X84" s="280">
        <f t="shared" si="96"/>
        <v>72.512000000000015</v>
      </c>
      <c r="Y84" s="281">
        <f t="shared" si="96"/>
        <v>91.163999999999987</v>
      </c>
      <c r="AA84" s="96"/>
    </row>
    <row r="85" spans="1:27" ht="12.75">
      <c r="A85" s="282" t="s">
        <v>248</v>
      </c>
      <c r="B85" s="283">
        <f t="shared" ref="B85:Y85" si="97">STDEV(B79:B83)</f>
        <v>0.349528253507491</v>
      </c>
      <c r="C85" s="283">
        <f t="shared" si="97"/>
        <v>1.3416407865001366E-2</v>
      </c>
      <c r="D85" s="283">
        <f t="shared" si="97"/>
        <v>0</v>
      </c>
      <c r="E85" s="283">
        <f t="shared" si="97"/>
        <v>0</v>
      </c>
      <c r="F85" s="284">
        <f t="shared" si="97"/>
        <v>1.0644012401345666</v>
      </c>
      <c r="G85" s="284">
        <f t="shared" si="97"/>
        <v>9.0277350426335543E-2</v>
      </c>
      <c r="H85" s="284">
        <f t="shared" si="97"/>
        <v>4.0521204325636715</v>
      </c>
      <c r="I85" s="285">
        <f t="shared" si="97"/>
        <v>3.1277356026365135</v>
      </c>
      <c r="J85" s="312">
        <f t="shared" si="97"/>
        <v>5.9581876439065595E-2</v>
      </c>
      <c r="K85" s="284">
        <f t="shared" si="97"/>
        <v>2.3874672772623087E-2</v>
      </c>
      <c r="L85" s="284">
        <f t="shared" si="97"/>
        <v>0.7168017857120601</v>
      </c>
      <c r="M85" s="284">
        <f t="shared" si="97"/>
        <v>0.44837618134778007</v>
      </c>
      <c r="N85" s="286">
        <f t="shared" si="97"/>
        <v>1.0326809768752379</v>
      </c>
      <c r="O85" s="286">
        <f t="shared" si="97"/>
        <v>0.14024977718342546</v>
      </c>
      <c r="P85" s="286">
        <f t="shared" si="97"/>
        <v>3.8356094691717506</v>
      </c>
      <c r="Q85" s="313">
        <f t="shared" si="97"/>
        <v>2.9220917165619524</v>
      </c>
      <c r="R85" s="287">
        <f t="shared" si="97"/>
        <v>0.11058933040759258</v>
      </c>
      <c r="S85" s="286">
        <f t="shared" si="97"/>
        <v>1.9235384061669365E-2</v>
      </c>
      <c r="T85" s="286">
        <f t="shared" si="97"/>
        <v>0.21554504556279161</v>
      </c>
      <c r="U85" s="286">
        <f t="shared" si="97"/>
        <v>0.28907438489080828</v>
      </c>
      <c r="V85" s="290">
        <f t="shared" si="97"/>
        <v>0.1446720429108547</v>
      </c>
      <c r="W85" s="290">
        <f t="shared" si="97"/>
        <v>1.0954451150101144E-2</v>
      </c>
      <c r="X85" s="290">
        <f t="shared" si="97"/>
        <v>0.96432359713946525</v>
      </c>
      <c r="Y85" s="291">
        <f t="shared" si="97"/>
        <v>0.53411609224961465</v>
      </c>
      <c r="AA85" s="96"/>
    </row>
    <row r="86" spans="1:27" ht="12.75">
      <c r="A86" s="393" t="s">
        <v>30</v>
      </c>
      <c r="B86" s="314">
        <v>94.29</v>
      </c>
      <c r="C86" s="314">
        <v>99.87</v>
      </c>
      <c r="D86" s="314">
        <v>69.78</v>
      </c>
      <c r="E86" s="314">
        <v>89.53</v>
      </c>
      <c r="F86" s="295">
        <v>81.27</v>
      </c>
      <c r="G86" s="295">
        <v>98.26</v>
      </c>
      <c r="H86" s="295">
        <v>65.489999999999995</v>
      </c>
      <c r="I86" s="315">
        <v>86.66</v>
      </c>
      <c r="J86" s="295">
        <v>93.85</v>
      </c>
      <c r="K86" s="295">
        <v>99.87</v>
      </c>
      <c r="L86" s="295">
        <v>66.5</v>
      </c>
      <c r="M86" s="295">
        <v>87.76</v>
      </c>
      <c r="N86" s="316">
        <v>69.92</v>
      </c>
      <c r="O86" s="317">
        <v>98.08</v>
      </c>
      <c r="P86" s="317">
        <v>51.49</v>
      </c>
      <c r="Q86" s="318">
        <v>75.95</v>
      </c>
      <c r="R86" s="317">
        <v>87.5</v>
      </c>
      <c r="S86" s="317">
        <v>99.46</v>
      </c>
      <c r="T86" s="317">
        <v>60.55</v>
      </c>
      <c r="U86" s="319">
        <v>83.54</v>
      </c>
      <c r="V86" s="320">
        <v>93.21</v>
      </c>
      <c r="W86" s="320">
        <v>99.89</v>
      </c>
      <c r="X86" s="320">
        <v>67.38</v>
      </c>
      <c r="Y86" s="321">
        <v>88.3</v>
      </c>
      <c r="AA86" s="96"/>
    </row>
    <row r="87" spans="1:27" ht="12.75">
      <c r="A87" s="392"/>
      <c r="B87" s="263">
        <v>94.67</v>
      </c>
      <c r="C87" s="263">
        <v>99.89</v>
      </c>
      <c r="D87" s="263">
        <v>69.78</v>
      </c>
      <c r="E87" s="263">
        <v>89.53</v>
      </c>
      <c r="F87" s="264">
        <v>83.13</v>
      </c>
      <c r="G87" s="264">
        <v>98.57</v>
      </c>
      <c r="H87" s="264">
        <v>65.27</v>
      </c>
      <c r="I87" s="265">
        <v>86.31</v>
      </c>
      <c r="J87" s="264">
        <v>94.11</v>
      </c>
      <c r="K87" s="264">
        <v>99.89</v>
      </c>
      <c r="L87" s="264">
        <v>66.17</v>
      </c>
      <c r="M87" s="264">
        <v>87.16</v>
      </c>
      <c r="N87" s="266">
        <v>79.48</v>
      </c>
      <c r="O87" s="267">
        <v>98.54</v>
      </c>
      <c r="P87" s="267">
        <v>49.47</v>
      </c>
      <c r="Q87" s="268">
        <v>73.89</v>
      </c>
      <c r="R87" s="267">
        <v>89.63</v>
      </c>
      <c r="S87" s="267">
        <v>99.51</v>
      </c>
      <c r="T87" s="267">
        <v>60.77</v>
      </c>
      <c r="U87" s="269">
        <v>83.65</v>
      </c>
      <c r="V87" s="270">
        <v>93.66</v>
      </c>
      <c r="W87" s="270">
        <v>99.91</v>
      </c>
      <c r="X87" s="270">
        <v>66.11</v>
      </c>
      <c r="Y87" s="271">
        <v>87.57</v>
      </c>
      <c r="AA87" s="96"/>
    </row>
    <row r="88" spans="1:27" ht="12.75">
      <c r="A88" s="392"/>
      <c r="B88" s="263">
        <v>94.78</v>
      </c>
      <c r="C88" s="263">
        <v>99.87</v>
      </c>
      <c r="D88" s="263">
        <v>69.78</v>
      </c>
      <c r="E88" s="263">
        <v>89.53</v>
      </c>
      <c r="F88" s="264">
        <v>78.790000000000006</v>
      </c>
      <c r="G88" s="264">
        <v>98.06</v>
      </c>
      <c r="H88" s="264">
        <v>65.069999999999993</v>
      </c>
      <c r="I88" s="265">
        <v>86.34</v>
      </c>
      <c r="J88" s="264">
        <v>94.13</v>
      </c>
      <c r="K88" s="264">
        <v>99.88</v>
      </c>
      <c r="L88" s="264">
        <v>65.31</v>
      </c>
      <c r="M88" s="264">
        <v>86.9</v>
      </c>
      <c r="N88" s="266">
        <v>77.45</v>
      </c>
      <c r="O88" s="267">
        <v>98.3</v>
      </c>
      <c r="P88" s="267">
        <v>51.74</v>
      </c>
      <c r="Q88" s="268">
        <v>76.5</v>
      </c>
      <c r="R88" s="267">
        <v>87.2</v>
      </c>
      <c r="S88" s="267">
        <v>99.56</v>
      </c>
      <c r="T88" s="267">
        <v>56.85</v>
      </c>
      <c r="U88" s="269">
        <v>80.66</v>
      </c>
      <c r="V88" s="270">
        <v>93.05</v>
      </c>
      <c r="W88" s="270">
        <v>99.91</v>
      </c>
      <c r="X88" s="270">
        <v>67.069999999999993</v>
      </c>
      <c r="Y88" s="271">
        <v>88.12</v>
      </c>
      <c r="AA88" s="96"/>
    </row>
    <row r="89" spans="1:27" ht="12.75">
      <c r="A89" s="392"/>
      <c r="B89" s="263">
        <v>94.54</v>
      </c>
      <c r="C89" s="263">
        <v>99.96</v>
      </c>
      <c r="D89" s="263">
        <v>69.78</v>
      </c>
      <c r="E89" s="263">
        <v>89.53</v>
      </c>
      <c r="F89" s="264">
        <v>80.75</v>
      </c>
      <c r="G89" s="264">
        <v>98.11</v>
      </c>
      <c r="H89" s="264">
        <v>64.89</v>
      </c>
      <c r="I89" s="265">
        <v>86.4</v>
      </c>
      <c r="J89" s="264">
        <v>93.77</v>
      </c>
      <c r="K89" s="264">
        <v>99.82</v>
      </c>
      <c r="L89" s="264">
        <v>66.239999999999995</v>
      </c>
      <c r="M89" s="264">
        <v>87.27</v>
      </c>
      <c r="N89" s="266">
        <v>72.36</v>
      </c>
      <c r="O89" s="267">
        <v>96.47</v>
      </c>
      <c r="P89" s="267">
        <v>47.81</v>
      </c>
      <c r="Q89" s="268">
        <v>72.709999999999994</v>
      </c>
      <c r="R89" s="267">
        <v>88.71</v>
      </c>
      <c r="S89" s="267">
        <v>99.58</v>
      </c>
      <c r="T89" s="267">
        <v>59.24</v>
      </c>
      <c r="U89" s="269">
        <v>82.27</v>
      </c>
      <c r="V89" s="270">
        <v>93.72</v>
      </c>
      <c r="W89" s="270">
        <v>99.85</v>
      </c>
      <c r="X89" s="270">
        <v>65.67</v>
      </c>
      <c r="Y89" s="271">
        <v>87.07</v>
      </c>
      <c r="AA89" s="96"/>
    </row>
    <row r="90" spans="1:27" ht="12.75">
      <c r="A90" s="392"/>
      <c r="B90" s="263">
        <v>94.699999999999903</v>
      </c>
      <c r="C90" s="263">
        <v>99.91</v>
      </c>
      <c r="D90" s="263">
        <v>69.784000000000006</v>
      </c>
      <c r="E90" s="263">
        <v>89.531999999999996</v>
      </c>
      <c r="F90" s="264">
        <v>82.82</v>
      </c>
      <c r="G90" s="264">
        <v>98.49</v>
      </c>
      <c r="H90" s="264">
        <v>65.75</v>
      </c>
      <c r="I90" s="265">
        <v>87.08</v>
      </c>
      <c r="J90" s="264">
        <v>94.3</v>
      </c>
      <c r="K90" s="264">
        <v>99.9</v>
      </c>
      <c r="L90" s="264">
        <v>66.134</v>
      </c>
      <c r="M90" s="264">
        <v>87.18</v>
      </c>
      <c r="N90" s="266">
        <v>78.709999999999994</v>
      </c>
      <c r="O90" s="267">
        <v>98.5</v>
      </c>
      <c r="P90" s="267">
        <v>50.402000000000001</v>
      </c>
      <c r="Q90" s="268">
        <v>75.075999999999993</v>
      </c>
      <c r="R90" s="267">
        <v>87.89</v>
      </c>
      <c r="S90" s="267">
        <v>99.42</v>
      </c>
      <c r="T90" s="267">
        <v>58.201999999999998</v>
      </c>
      <c r="U90" s="269">
        <v>81.41</v>
      </c>
      <c r="V90" s="270">
        <v>93.8</v>
      </c>
      <c r="W90" s="270">
        <v>99.88</v>
      </c>
      <c r="X90" s="270">
        <v>66.245999999999995</v>
      </c>
      <c r="Y90" s="271">
        <v>87.495999999999995</v>
      </c>
      <c r="AA90" s="96"/>
    </row>
    <row r="91" spans="1:27" ht="12.75">
      <c r="A91" s="272" t="s">
        <v>247</v>
      </c>
      <c r="B91" s="273">
        <f t="shared" ref="B91:Y91" si="98">AVERAGE(B86:B90)</f>
        <v>94.595999999999975</v>
      </c>
      <c r="C91" s="273">
        <f t="shared" si="98"/>
        <v>99.9</v>
      </c>
      <c r="D91" s="273">
        <f t="shared" si="98"/>
        <v>69.780799999999999</v>
      </c>
      <c r="E91" s="273">
        <f t="shared" si="98"/>
        <v>89.5304</v>
      </c>
      <c r="F91" s="274">
        <f t="shared" si="98"/>
        <v>81.352000000000004</v>
      </c>
      <c r="G91" s="274">
        <f t="shared" si="98"/>
        <v>98.298000000000002</v>
      </c>
      <c r="H91" s="274">
        <f t="shared" si="98"/>
        <v>65.293999999999997</v>
      </c>
      <c r="I91" s="275">
        <f t="shared" si="98"/>
        <v>86.558000000000007</v>
      </c>
      <c r="J91" s="274">
        <f t="shared" si="98"/>
        <v>94.031999999999996</v>
      </c>
      <c r="K91" s="274">
        <f t="shared" si="98"/>
        <v>99.872</v>
      </c>
      <c r="L91" s="274">
        <f t="shared" si="98"/>
        <v>66.070800000000006</v>
      </c>
      <c r="M91" s="274">
        <f t="shared" si="98"/>
        <v>87.254000000000005</v>
      </c>
      <c r="N91" s="276">
        <f t="shared" si="98"/>
        <v>75.584000000000003</v>
      </c>
      <c r="O91" s="277">
        <f t="shared" si="98"/>
        <v>97.977999999999994</v>
      </c>
      <c r="P91" s="277">
        <f t="shared" si="98"/>
        <v>50.182400000000008</v>
      </c>
      <c r="Q91" s="278">
        <f t="shared" si="98"/>
        <v>74.825199999999995</v>
      </c>
      <c r="R91" s="277">
        <f t="shared" si="98"/>
        <v>88.185999999999993</v>
      </c>
      <c r="S91" s="277">
        <f t="shared" si="98"/>
        <v>99.506</v>
      </c>
      <c r="T91" s="277">
        <f t="shared" si="98"/>
        <v>59.122399999999992</v>
      </c>
      <c r="U91" s="279">
        <f t="shared" si="98"/>
        <v>82.305999999999997</v>
      </c>
      <c r="V91" s="280">
        <f t="shared" si="98"/>
        <v>93.488</v>
      </c>
      <c r="W91" s="280">
        <f t="shared" si="98"/>
        <v>99.888000000000005</v>
      </c>
      <c r="X91" s="280">
        <f t="shared" si="98"/>
        <v>66.495199999999997</v>
      </c>
      <c r="Y91" s="281">
        <f t="shared" si="98"/>
        <v>87.711199999999991</v>
      </c>
      <c r="AA91" s="96"/>
    </row>
    <row r="92" spans="1:27" ht="12.75">
      <c r="A92" s="282" t="s">
        <v>248</v>
      </c>
      <c r="B92" s="283">
        <f t="shared" ref="B92:Y92" si="99">STDEV(B86:B90)</f>
        <v>0.19165072397461486</v>
      </c>
      <c r="C92" s="283">
        <f t="shared" si="99"/>
        <v>3.7416573867734816E-2</v>
      </c>
      <c r="D92" s="283">
        <f t="shared" si="99"/>
        <v>1.788854382002018E-3</v>
      </c>
      <c r="E92" s="283">
        <f t="shared" si="99"/>
        <v>8.9442719099783131E-4</v>
      </c>
      <c r="F92" s="284">
        <f t="shared" si="99"/>
        <v>1.7499485706728592</v>
      </c>
      <c r="G92" s="284">
        <f t="shared" si="99"/>
        <v>0.22598672527384936</v>
      </c>
      <c r="H92" s="284">
        <f t="shared" si="99"/>
        <v>0.33923443221465621</v>
      </c>
      <c r="I92" s="285">
        <f t="shared" si="99"/>
        <v>0.32283122525554786</v>
      </c>
      <c r="J92" s="284">
        <f t="shared" si="99"/>
        <v>0.21753160689886059</v>
      </c>
      <c r="K92" s="284">
        <f t="shared" si="99"/>
        <v>3.1144823004798716E-2</v>
      </c>
      <c r="L92" s="284">
        <f t="shared" si="99"/>
        <v>0.4487462534662533</v>
      </c>
      <c r="M92" s="284">
        <f t="shared" si="99"/>
        <v>0.31461087075941946</v>
      </c>
      <c r="N92" s="286">
        <f t="shared" si="99"/>
        <v>4.2103360910977159</v>
      </c>
      <c r="O92" s="287">
        <f t="shared" si="99"/>
        <v>0.8626239041436321</v>
      </c>
      <c r="P92" s="287">
        <f t="shared" si="99"/>
        <v>1.606234354009402</v>
      </c>
      <c r="Q92" s="288">
        <f t="shared" si="99"/>
        <v>1.5396185241805864</v>
      </c>
      <c r="R92" s="287">
        <f t="shared" si="99"/>
        <v>0.986169356652291</v>
      </c>
      <c r="S92" s="287">
        <f t="shared" si="99"/>
        <v>6.6932802122726634E-2</v>
      </c>
      <c r="T92" s="287">
        <f t="shared" si="99"/>
        <v>1.6414471663748427</v>
      </c>
      <c r="U92" s="289">
        <f t="shared" si="99"/>
        <v>1.3079105473999406</v>
      </c>
      <c r="V92" s="290">
        <f t="shared" si="99"/>
        <v>0.33536547228359781</v>
      </c>
      <c r="W92" s="290">
        <f t="shared" si="99"/>
        <v>2.4899799195978504E-2</v>
      </c>
      <c r="X92" s="290">
        <f t="shared" si="99"/>
        <v>0.70793728535795886</v>
      </c>
      <c r="Y92" s="291">
        <f t="shared" si="99"/>
        <v>0.49779232617629138</v>
      </c>
      <c r="AA92" s="96"/>
    </row>
    <row r="93" spans="1:27" ht="12.75">
      <c r="A93" s="393" t="s">
        <v>251</v>
      </c>
      <c r="B93" s="314">
        <v>96.38</v>
      </c>
      <c r="C93" s="314">
        <v>99.95</v>
      </c>
      <c r="D93" s="314">
        <v>77.3</v>
      </c>
      <c r="E93" s="314">
        <v>93.46</v>
      </c>
      <c r="F93" s="295">
        <v>94.18</v>
      </c>
      <c r="G93" s="295">
        <v>99.86</v>
      </c>
      <c r="H93" s="295">
        <v>73.78</v>
      </c>
      <c r="I93" s="315">
        <v>91.62</v>
      </c>
      <c r="J93" s="295">
        <v>96.51</v>
      </c>
      <c r="K93" s="295">
        <v>99.96</v>
      </c>
      <c r="L93" s="295">
        <v>73.7</v>
      </c>
      <c r="M93" s="295">
        <v>91.8</v>
      </c>
      <c r="N93" s="316">
        <v>91.75</v>
      </c>
      <c r="O93" s="317">
        <v>99.79</v>
      </c>
      <c r="P93" s="317">
        <v>39.71</v>
      </c>
      <c r="Q93" s="318">
        <v>61.59</v>
      </c>
      <c r="R93" s="317">
        <v>92.99</v>
      </c>
      <c r="S93" s="317">
        <v>99.74</v>
      </c>
      <c r="T93" s="317">
        <v>66.45</v>
      </c>
      <c r="U93" s="319">
        <v>87.25</v>
      </c>
      <c r="V93" s="320">
        <v>95.99</v>
      </c>
      <c r="W93" s="320">
        <v>99.94</v>
      </c>
      <c r="X93" s="320">
        <v>74.28</v>
      </c>
      <c r="Y93" s="321">
        <v>92.2</v>
      </c>
      <c r="AA93" s="96"/>
    </row>
    <row r="94" spans="1:27" ht="12.75">
      <c r="A94" s="392"/>
      <c r="B94" s="263">
        <v>96.25</v>
      </c>
      <c r="C94" s="263">
        <v>99.92</v>
      </c>
      <c r="D94" s="263">
        <v>77.31</v>
      </c>
      <c r="E94" s="263">
        <v>93.46</v>
      </c>
      <c r="F94" s="264">
        <v>94.61</v>
      </c>
      <c r="G94" s="264">
        <v>99.94</v>
      </c>
      <c r="H94" s="264">
        <v>73.569999999999993</v>
      </c>
      <c r="I94" s="265">
        <v>91.46</v>
      </c>
      <c r="J94" s="264">
        <v>96.36</v>
      </c>
      <c r="K94" s="264">
        <v>99.94</v>
      </c>
      <c r="L94" s="264">
        <v>73.61</v>
      </c>
      <c r="M94" s="264">
        <v>91.85</v>
      </c>
      <c r="N94" s="266">
        <v>91.51</v>
      </c>
      <c r="O94" s="267">
        <v>99.69</v>
      </c>
      <c r="P94" s="267">
        <v>39.58</v>
      </c>
      <c r="Q94" s="268">
        <v>61.69</v>
      </c>
      <c r="R94" s="267">
        <v>93.52</v>
      </c>
      <c r="S94" s="267">
        <v>99.84</v>
      </c>
      <c r="T94" s="267">
        <v>67.05</v>
      </c>
      <c r="U94" s="269">
        <v>87.88</v>
      </c>
      <c r="V94" s="270">
        <v>95.95</v>
      </c>
      <c r="W94" s="270">
        <v>99.9</v>
      </c>
      <c r="X94" s="270">
        <v>74.36</v>
      </c>
      <c r="Y94" s="271">
        <v>92.32</v>
      </c>
      <c r="AA94" s="96"/>
    </row>
    <row r="95" spans="1:27" ht="12.75">
      <c r="A95" s="392"/>
      <c r="B95" s="263">
        <v>96.73</v>
      </c>
      <c r="C95" s="263">
        <v>99.92</v>
      </c>
      <c r="D95" s="263">
        <v>77.31</v>
      </c>
      <c r="E95" s="263">
        <v>93.46</v>
      </c>
      <c r="F95" s="264">
        <v>94.84</v>
      </c>
      <c r="G95" s="264">
        <v>99.89</v>
      </c>
      <c r="H95" s="264">
        <v>74.06</v>
      </c>
      <c r="I95" s="265">
        <v>91.66</v>
      </c>
      <c r="J95" s="264">
        <v>96.23</v>
      </c>
      <c r="K95" s="264">
        <v>99.94</v>
      </c>
      <c r="L95" s="264">
        <v>73.89</v>
      </c>
      <c r="M95" s="264">
        <v>91.79</v>
      </c>
      <c r="N95" s="266">
        <v>90.79</v>
      </c>
      <c r="O95" s="267">
        <v>99.83</v>
      </c>
      <c r="P95" s="267">
        <v>47.27</v>
      </c>
      <c r="Q95" s="268">
        <v>70.05</v>
      </c>
      <c r="R95" s="267">
        <v>92.76</v>
      </c>
      <c r="S95" s="267">
        <v>99.8</v>
      </c>
      <c r="T95" s="267">
        <v>68.430000000000007</v>
      </c>
      <c r="U95" s="269">
        <v>88.81</v>
      </c>
      <c r="V95" s="270">
        <v>96.01</v>
      </c>
      <c r="W95" s="270">
        <v>99.95</v>
      </c>
      <c r="X95" s="270">
        <v>74.41</v>
      </c>
      <c r="Y95" s="271">
        <v>92.26</v>
      </c>
      <c r="AA95" s="96"/>
    </row>
    <row r="96" spans="1:27" ht="12.75">
      <c r="A96" s="392"/>
      <c r="B96" s="263">
        <v>96.07</v>
      </c>
      <c r="C96" s="263">
        <v>99.96</v>
      </c>
      <c r="D96" s="263">
        <v>77.31</v>
      </c>
      <c r="E96" s="263">
        <v>93.45</v>
      </c>
      <c r="F96" s="264">
        <v>93.91</v>
      </c>
      <c r="G96" s="264">
        <v>99.88</v>
      </c>
      <c r="H96" s="264">
        <v>73.66</v>
      </c>
      <c r="I96" s="265">
        <v>91.57</v>
      </c>
      <c r="J96" s="264">
        <v>96.62</v>
      </c>
      <c r="K96" s="264">
        <v>99.94</v>
      </c>
      <c r="L96" s="264">
        <v>73.650000000000006</v>
      </c>
      <c r="M96" s="264">
        <v>91.94</v>
      </c>
      <c r="N96" s="266">
        <v>85.57</v>
      </c>
      <c r="O96" s="267">
        <v>99.45</v>
      </c>
      <c r="P96" s="267">
        <v>37.619999999999997</v>
      </c>
      <c r="Q96" s="268">
        <v>59.06</v>
      </c>
      <c r="R96" s="267">
        <v>93.08</v>
      </c>
      <c r="S96" s="267">
        <v>99.8</v>
      </c>
      <c r="T96" s="267">
        <v>67.64</v>
      </c>
      <c r="U96" s="269">
        <v>88.19</v>
      </c>
      <c r="V96" s="270">
        <v>96.44</v>
      </c>
      <c r="W96" s="270">
        <v>99.86</v>
      </c>
      <c r="X96" s="270">
        <v>74.36</v>
      </c>
      <c r="Y96" s="271">
        <v>92.34</v>
      </c>
      <c r="AA96" s="96"/>
    </row>
    <row r="97" spans="1:27" ht="12.75">
      <c r="A97" s="392"/>
      <c r="B97" s="263">
        <v>96.21</v>
      </c>
      <c r="C97" s="263">
        <v>99.91</v>
      </c>
      <c r="D97" s="263">
        <v>77.31</v>
      </c>
      <c r="E97" s="263">
        <v>93.45</v>
      </c>
      <c r="F97" s="264">
        <v>94.16</v>
      </c>
      <c r="G97" s="264">
        <v>99.91</v>
      </c>
      <c r="H97" s="264">
        <v>74.209999999999994</v>
      </c>
      <c r="I97" s="265">
        <v>91.85</v>
      </c>
      <c r="J97" s="264">
        <v>96.55</v>
      </c>
      <c r="K97" s="264">
        <v>99.97</v>
      </c>
      <c r="L97" s="264">
        <v>73.83</v>
      </c>
      <c r="M97" s="264">
        <v>91.84</v>
      </c>
      <c r="N97" s="266">
        <v>88.44</v>
      </c>
      <c r="O97" s="267">
        <v>99.539999999999907</v>
      </c>
      <c r="P97" s="267">
        <v>42.35</v>
      </c>
      <c r="Q97" s="268">
        <v>64.650000000000006</v>
      </c>
      <c r="R97" s="267">
        <v>92.92</v>
      </c>
      <c r="S97" s="267">
        <v>99.76</v>
      </c>
      <c r="T97" s="267">
        <v>67.19</v>
      </c>
      <c r="U97" s="269">
        <v>88.16</v>
      </c>
      <c r="V97" s="270">
        <v>96.39</v>
      </c>
      <c r="W97" s="270">
        <v>99.89</v>
      </c>
      <c r="X97" s="270">
        <v>74.31</v>
      </c>
      <c r="Y97" s="271">
        <v>92.355999999999995</v>
      </c>
      <c r="AA97" s="96"/>
    </row>
    <row r="98" spans="1:27" ht="12.75">
      <c r="A98" s="272" t="s">
        <v>247</v>
      </c>
      <c r="B98" s="273">
        <f t="shared" ref="B98:Y98" si="100">AVERAGE(B93:B97)</f>
        <v>96.328000000000003</v>
      </c>
      <c r="C98" s="273">
        <f t="shared" si="100"/>
        <v>99.931999999999988</v>
      </c>
      <c r="D98" s="273">
        <f t="shared" si="100"/>
        <v>77.308000000000007</v>
      </c>
      <c r="E98" s="273">
        <f t="shared" si="100"/>
        <v>93.455999999999989</v>
      </c>
      <c r="F98" s="274">
        <f t="shared" si="100"/>
        <v>94.339999999999989</v>
      </c>
      <c r="G98" s="274">
        <f t="shared" si="100"/>
        <v>99.896000000000001</v>
      </c>
      <c r="H98" s="274">
        <f t="shared" si="100"/>
        <v>73.855999999999995</v>
      </c>
      <c r="I98" s="275">
        <f t="shared" si="100"/>
        <v>91.631999999999991</v>
      </c>
      <c r="J98" s="274">
        <f t="shared" si="100"/>
        <v>96.454000000000008</v>
      </c>
      <c r="K98" s="274">
        <f t="shared" si="100"/>
        <v>99.95</v>
      </c>
      <c r="L98" s="274">
        <f t="shared" si="100"/>
        <v>73.736000000000004</v>
      </c>
      <c r="M98" s="274">
        <f t="shared" si="100"/>
        <v>91.844000000000008</v>
      </c>
      <c r="N98" s="276">
        <f t="shared" si="100"/>
        <v>89.611999999999995</v>
      </c>
      <c r="O98" s="277">
        <f t="shared" si="100"/>
        <v>99.659999999999982</v>
      </c>
      <c r="P98" s="277">
        <f t="shared" si="100"/>
        <v>41.305999999999997</v>
      </c>
      <c r="Q98" s="278">
        <f t="shared" si="100"/>
        <v>63.407999999999994</v>
      </c>
      <c r="R98" s="277">
        <f t="shared" si="100"/>
        <v>93.054000000000002</v>
      </c>
      <c r="S98" s="277">
        <f t="shared" si="100"/>
        <v>99.787999999999997</v>
      </c>
      <c r="T98" s="277">
        <f t="shared" si="100"/>
        <v>67.352000000000004</v>
      </c>
      <c r="U98" s="279">
        <f t="shared" si="100"/>
        <v>88.057999999999993</v>
      </c>
      <c r="V98" s="280">
        <f t="shared" si="100"/>
        <v>96.155999999999992</v>
      </c>
      <c r="W98" s="280">
        <f t="shared" si="100"/>
        <v>99.908000000000001</v>
      </c>
      <c r="X98" s="280">
        <f t="shared" si="100"/>
        <v>74.343999999999994</v>
      </c>
      <c r="Y98" s="281">
        <f t="shared" si="100"/>
        <v>92.295199999999994</v>
      </c>
      <c r="AA98" s="96"/>
    </row>
    <row r="99" spans="1:27" ht="12.75">
      <c r="A99" s="282" t="s">
        <v>248</v>
      </c>
      <c r="B99" s="283">
        <f t="shared" ref="B99:Y99" si="101">STDEV(B93:B97)</f>
        <v>0.25043961347998028</v>
      </c>
      <c r="C99" s="283">
        <f t="shared" si="101"/>
        <v>2.1679483388677763E-2</v>
      </c>
      <c r="D99" s="283">
        <f t="shared" si="101"/>
        <v>4.472135955001867E-3</v>
      </c>
      <c r="E99" s="283">
        <f t="shared" si="101"/>
        <v>5.47722557504668E-3</v>
      </c>
      <c r="F99" s="284">
        <f t="shared" si="101"/>
        <v>0.37609839138183143</v>
      </c>
      <c r="G99" s="284">
        <f t="shared" si="101"/>
        <v>3.0495901363953335E-2</v>
      </c>
      <c r="H99" s="284">
        <f t="shared" si="101"/>
        <v>0.27061042108536837</v>
      </c>
      <c r="I99" s="285">
        <f t="shared" si="101"/>
        <v>0.14307340773183552</v>
      </c>
      <c r="J99" s="284">
        <f t="shared" si="101"/>
        <v>0.15725775020646826</v>
      </c>
      <c r="K99" s="284">
        <f t="shared" si="101"/>
        <v>1.4142135623730649E-2</v>
      </c>
      <c r="L99" s="284">
        <f t="shared" si="101"/>
        <v>0.119498953970316</v>
      </c>
      <c r="M99" s="284">
        <f t="shared" si="101"/>
        <v>5.9413803110049776E-2</v>
      </c>
      <c r="N99" s="286">
        <f t="shared" si="101"/>
        <v>2.6111530020280358</v>
      </c>
      <c r="O99" s="287">
        <f t="shared" si="101"/>
        <v>0.16217274740228557</v>
      </c>
      <c r="P99" s="287">
        <f t="shared" si="101"/>
        <v>3.734036689696556</v>
      </c>
      <c r="Q99" s="288">
        <f t="shared" si="101"/>
        <v>4.2077452394364352</v>
      </c>
      <c r="R99" s="287">
        <f t="shared" si="101"/>
        <v>0.28562212799431058</v>
      </c>
      <c r="S99" s="287">
        <f t="shared" si="101"/>
        <v>3.8987177379237216E-2</v>
      </c>
      <c r="T99" s="287">
        <f t="shared" si="101"/>
        <v>0.73757711461243358</v>
      </c>
      <c r="U99" s="289">
        <f t="shared" si="101"/>
        <v>0.56521677257491298</v>
      </c>
      <c r="V99" s="290">
        <f t="shared" si="101"/>
        <v>0.23807561823924661</v>
      </c>
      <c r="W99" s="290">
        <f t="shared" si="101"/>
        <v>3.7013511046643618E-2</v>
      </c>
      <c r="X99" s="290">
        <f t="shared" si="101"/>
        <v>5.0299105359835214E-2</v>
      </c>
      <c r="Y99" s="291">
        <f t="shared" si="101"/>
        <v>6.4460840826036397E-2</v>
      </c>
      <c r="AA99" s="96"/>
    </row>
    <row r="100" spans="1:27" ht="12.75">
      <c r="A100" s="393" t="s">
        <v>32</v>
      </c>
      <c r="B100" s="314">
        <v>89.74</v>
      </c>
      <c r="C100" s="314">
        <v>99.64</v>
      </c>
      <c r="D100" s="314">
        <v>73.47</v>
      </c>
      <c r="E100" s="314">
        <v>91.52</v>
      </c>
      <c r="F100" s="295">
        <v>61.25</v>
      </c>
      <c r="G100" s="295">
        <v>95.67</v>
      </c>
      <c r="H100" s="295">
        <v>49.62</v>
      </c>
      <c r="I100" s="315">
        <v>73.349999999999994</v>
      </c>
      <c r="J100" s="295">
        <v>90.98</v>
      </c>
      <c r="K100" s="295">
        <v>99.81</v>
      </c>
      <c r="L100" s="295">
        <v>65.61</v>
      </c>
      <c r="M100" s="295">
        <v>86.73</v>
      </c>
      <c r="N100" s="316">
        <v>23.65</v>
      </c>
      <c r="O100" s="317">
        <v>75.709999999999994</v>
      </c>
      <c r="P100" s="317">
        <v>26.74</v>
      </c>
      <c r="Q100" s="318">
        <v>48.92</v>
      </c>
      <c r="R100" s="317">
        <v>36.770000000000003</v>
      </c>
      <c r="S100" s="317">
        <v>88.06</v>
      </c>
      <c r="T100" s="317">
        <v>36.409999999999997</v>
      </c>
      <c r="U100" s="319">
        <v>60.97</v>
      </c>
      <c r="V100" s="320">
        <v>91.05</v>
      </c>
      <c r="W100" s="320">
        <v>99.82</v>
      </c>
      <c r="X100" s="320">
        <v>63.74</v>
      </c>
      <c r="Y100" s="321">
        <v>85.36</v>
      </c>
      <c r="AA100" s="96"/>
    </row>
    <row r="101" spans="1:27" ht="12.75">
      <c r="A101" s="392"/>
      <c r="B101" s="263">
        <v>91.41</v>
      </c>
      <c r="C101" s="263">
        <v>99.83</v>
      </c>
      <c r="D101" s="263">
        <v>73.47</v>
      </c>
      <c r="E101" s="263">
        <v>91.52</v>
      </c>
      <c r="F101" s="264">
        <v>57.56</v>
      </c>
      <c r="G101" s="264">
        <v>95.87</v>
      </c>
      <c r="H101" s="264">
        <v>48.72</v>
      </c>
      <c r="I101" s="265">
        <v>72.760000000000005</v>
      </c>
      <c r="J101" s="264">
        <v>91.39</v>
      </c>
      <c r="K101" s="264">
        <v>99.75</v>
      </c>
      <c r="L101" s="264">
        <v>66.63</v>
      </c>
      <c r="M101" s="264">
        <v>87.3</v>
      </c>
      <c r="N101" s="266">
        <v>32.909999999999997</v>
      </c>
      <c r="O101" s="267">
        <v>86.96</v>
      </c>
      <c r="P101" s="267">
        <v>27.55</v>
      </c>
      <c r="Q101" s="268">
        <v>49.78</v>
      </c>
      <c r="R101" s="267">
        <v>40.58</v>
      </c>
      <c r="S101" s="267">
        <v>90.1</v>
      </c>
      <c r="T101" s="267">
        <v>37.340000000000003</v>
      </c>
      <c r="U101" s="269">
        <v>62.28</v>
      </c>
      <c r="V101" s="270">
        <v>89.54</v>
      </c>
      <c r="W101" s="270">
        <v>99.6</v>
      </c>
      <c r="X101" s="270">
        <v>60.27</v>
      </c>
      <c r="Y101" s="271">
        <v>83.09</v>
      </c>
    </row>
    <row r="102" spans="1:27" ht="12.75">
      <c r="A102" s="392"/>
      <c r="B102" s="302">
        <v>91.53</v>
      </c>
      <c r="C102" s="302">
        <v>99.83</v>
      </c>
      <c r="D102" s="263">
        <v>73.47</v>
      </c>
      <c r="E102" s="263">
        <v>91.52</v>
      </c>
      <c r="F102" s="303">
        <v>53.13</v>
      </c>
      <c r="G102" s="303">
        <v>92.76</v>
      </c>
      <c r="H102" s="264">
        <v>47.09</v>
      </c>
      <c r="I102" s="265">
        <v>71.38</v>
      </c>
      <c r="J102" s="303">
        <v>91.42</v>
      </c>
      <c r="K102" s="303">
        <v>99.73</v>
      </c>
      <c r="L102" s="264">
        <v>66.53</v>
      </c>
      <c r="M102" s="264">
        <v>87.24</v>
      </c>
      <c r="N102" s="305">
        <v>27.26</v>
      </c>
      <c r="O102" s="306">
        <v>88.26</v>
      </c>
      <c r="P102" s="267">
        <v>19.190000000000001</v>
      </c>
      <c r="Q102" s="268">
        <v>37.840000000000003</v>
      </c>
      <c r="R102" s="306">
        <v>45.05</v>
      </c>
      <c r="S102" s="306">
        <v>96.83</v>
      </c>
      <c r="T102" s="267">
        <v>38.07</v>
      </c>
      <c r="U102" s="269">
        <v>62.69</v>
      </c>
      <c r="V102" s="308">
        <v>85.69</v>
      </c>
      <c r="W102" s="308">
        <v>99.5</v>
      </c>
      <c r="X102" s="270">
        <v>60.92</v>
      </c>
      <c r="Y102" s="271">
        <v>83.5</v>
      </c>
    </row>
    <row r="103" spans="1:27" ht="12.75">
      <c r="A103" s="392"/>
      <c r="B103" s="263">
        <v>90.37</v>
      </c>
      <c r="C103" s="263">
        <v>99.79</v>
      </c>
      <c r="D103" s="263">
        <v>73.47</v>
      </c>
      <c r="E103" s="263">
        <v>91.52</v>
      </c>
      <c r="F103" s="264">
        <v>57.68</v>
      </c>
      <c r="G103" s="264">
        <v>95.95</v>
      </c>
      <c r="H103" s="264">
        <v>44.95</v>
      </c>
      <c r="I103" s="265">
        <v>68.709999999999994</v>
      </c>
      <c r="J103" s="264">
        <v>92.64</v>
      </c>
      <c r="K103" s="264">
        <v>99.82</v>
      </c>
      <c r="L103" s="264">
        <v>65.88</v>
      </c>
      <c r="M103" s="264">
        <v>86.9</v>
      </c>
      <c r="N103" s="266">
        <v>35.54</v>
      </c>
      <c r="O103" s="267">
        <v>88.64</v>
      </c>
      <c r="P103" s="267">
        <v>22.23</v>
      </c>
      <c r="Q103" s="268">
        <v>41.99</v>
      </c>
      <c r="R103" s="267">
        <v>41.89</v>
      </c>
      <c r="S103" s="267">
        <v>89.11</v>
      </c>
      <c r="T103" s="267">
        <v>38.590000000000003</v>
      </c>
      <c r="U103" s="269">
        <v>63.37</v>
      </c>
      <c r="V103" s="270">
        <v>85.69</v>
      </c>
      <c r="W103" s="270">
        <v>99.5</v>
      </c>
      <c r="X103" s="270">
        <v>65.34</v>
      </c>
      <c r="Y103" s="271">
        <v>86.9</v>
      </c>
    </row>
    <row r="104" spans="1:27" ht="12.75">
      <c r="A104" s="392"/>
      <c r="B104" s="263">
        <v>89.54</v>
      </c>
      <c r="C104" s="263">
        <v>99.74</v>
      </c>
      <c r="D104" s="314">
        <v>73.47</v>
      </c>
      <c r="E104" s="314">
        <v>91.52</v>
      </c>
      <c r="F104" s="264">
        <v>57.85</v>
      </c>
      <c r="G104" s="264">
        <v>93.94</v>
      </c>
      <c r="H104" s="264">
        <v>49.98</v>
      </c>
      <c r="I104" s="265">
        <v>73.83</v>
      </c>
      <c r="J104" s="264">
        <v>92.67</v>
      </c>
      <c r="K104" s="264">
        <v>99.86</v>
      </c>
      <c r="L104" s="264">
        <v>65.83</v>
      </c>
      <c r="M104" s="264">
        <v>86.87</v>
      </c>
      <c r="N104" s="266">
        <v>25.08</v>
      </c>
      <c r="O104" s="267">
        <v>82.74</v>
      </c>
      <c r="P104" s="267">
        <v>26.66</v>
      </c>
      <c r="Q104" s="268">
        <v>48.26</v>
      </c>
      <c r="R104" s="267">
        <v>48.86</v>
      </c>
      <c r="S104" s="267">
        <v>95.66</v>
      </c>
      <c r="T104" s="267">
        <v>34.340000000000003</v>
      </c>
      <c r="U104" s="269">
        <v>58.51</v>
      </c>
      <c r="V104" s="270">
        <v>88.62</v>
      </c>
      <c r="W104" s="270">
        <v>99.72</v>
      </c>
      <c r="X104" s="270">
        <v>62.71</v>
      </c>
      <c r="Y104" s="271">
        <v>85.05</v>
      </c>
    </row>
    <row r="105" spans="1:27" ht="12.75">
      <c r="A105" s="272" t="s">
        <v>247</v>
      </c>
      <c r="B105" s="273">
        <f t="shared" ref="B105:C105" si="102">AVERAGE(B100:B104)</f>
        <v>90.518000000000001</v>
      </c>
      <c r="C105" s="273">
        <f t="shared" si="102"/>
        <v>99.766000000000005</v>
      </c>
      <c r="D105" s="273">
        <f t="shared" ref="D105:E105" si="103">AVERAGE(D100:D103)</f>
        <v>73.47</v>
      </c>
      <c r="E105" s="273">
        <f t="shared" si="103"/>
        <v>91.52</v>
      </c>
      <c r="F105" s="274">
        <f t="shared" ref="F105:Y105" si="104">AVERAGE(F100:F104)</f>
        <v>57.494000000000007</v>
      </c>
      <c r="G105" s="274">
        <f t="shared" si="104"/>
        <v>94.837999999999994</v>
      </c>
      <c r="H105" s="274">
        <f t="shared" si="104"/>
        <v>48.071999999999996</v>
      </c>
      <c r="I105" s="275">
        <f t="shared" si="104"/>
        <v>72.006</v>
      </c>
      <c r="J105" s="274">
        <f t="shared" si="104"/>
        <v>91.820000000000007</v>
      </c>
      <c r="K105" s="274">
        <f t="shared" si="104"/>
        <v>99.794000000000011</v>
      </c>
      <c r="L105" s="274">
        <f t="shared" si="104"/>
        <v>66.095999999999989</v>
      </c>
      <c r="M105" s="274">
        <f t="shared" si="104"/>
        <v>87.007999999999996</v>
      </c>
      <c r="N105" s="276">
        <f t="shared" si="104"/>
        <v>28.887999999999998</v>
      </c>
      <c r="O105" s="277">
        <f t="shared" si="104"/>
        <v>84.462000000000003</v>
      </c>
      <c r="P105" s="277">
        <f t="shared" si="104"/>
        <v>24.474</v>
      </c>
      <c r="Q105" s="278">
        <f t="shared" si="104"/>
        <v>45.358000000000004</v>
      </c>
      <c r="R105" s="277">
        <f t="shared" si="104"/>
        <v>42.629999999999995</v>
      </c>
      <c r="S105" s="277">
        <f t="shared" si="104"/>
        <v>91.951999999999998</v>
      </c>
      <c r="T105" s="277">
        <f t="shared" si="104"/>
        <v>36.950000000000003</v>
      </c>
      <c r="U105" s="279">
        <f t="shared" si="104"/>
        <v>61.564</v>
      </c>
      <c r="V105" s="280">
        <f t="shared" si="104"/>
        <v>88.117999999999995</v>
      </c>
      <c r="W105" s="280">
        <f t="shared" si="104"/>
        <v>99.628</v>
      </c>
      <c r="X105" s="280">
        <f t="shared" si="104"/>
        <v>62.596000000000004</v>
      </c>
      <c r="Y105" s="281">
        <f t="shared" si="104"/>
        <v>84.78</v>
      </c>
      <c r="AA105" s="96"/>
    </row>
    <row r="106" spans="1:27" ht="12.75">
      <c r="A106" s="282" t="s">
        <v>248</v>
      </c>
      <c r="B106" s="283">
        <f t="shared" ref="B106:C106" si="105">STDEV(B100:B104)</f>
        <v>0.9224261488054194</v>
      </c>
      <c r="C106" s="283">
        <f t="shared" si="105"/>
        <v>7.9561297123664318E-2</v>
      </c>
      <c r="D106" s="283">
        <f t="shared" ref="D106:E106" si="106">STDEV(D100:D103)</f>
        <v>0</v>
      </c>
      <c r="E106" s="283">
        <f t="shared" si="106"/>
        <v>0</v>
      </c>
      <c r="F106" s="284">
        <f t="shared" ref="F106:Y106" si="107">STDEV(F100:F104)</f>
        <v>2.886075189595724</v>
      </c>
      <c r="G106" s="284">
        <f t="shared" si="107"/>
        <v>1.4246297764682587</v>
      </c>
      <c r="H106" s="284">
        <f t="shared" si="107"/>
        <v>2.0717070256192085</v>
      </c>
      <c r="I106" s="285">
        <f t="shared" si="107"/>
        <v>2.0589633313879117</v>
      </c>
      <c r="J106" s="284">
        <f t="shared" si="107"/>
        <v>0.7818887388880843</v>
      </c>
      <c r="K106" s="284">
        <f t="shared" si="107"/>
        <v>5.3197744313079512E-2</v>
      </c>
      <c r="L106" s="284">
        <f t="shared" si="107"/>
        <v>0.45473068952952789</v>
      </c>
      <c r="M106" s="284">
        <f t="shared" si="107"/>
        <v>0.24853571171965974</v>
      </c>
      <c r="N106" s="286">
        <f t="shared" si="107"/>
        <v>5.1238042507496226</v>
      </c>
      <c r="O106" s="287">
        <f t="shared" si="107"/>
        <v>5.4240962380842799</v>
      </c>
      <c r="P106" s="287">
        <f t="shared" si="107"/>
        <v>3.6170194912386004</v>
      </c>
      <c r="Q106" s="288">
        <f t="shared" si="107"/>
        <v>5.2088213638019063</v>
      </c>
      <c r="R106" s="287">
        <f t="shared" si="107"/>
        <v>4.5759971590900257</v>
      </c>
      <c r="S106" s="287">
        <f t="shared" si="107"/>
        <v>4.0062039388927753</v>
      </c>
      <c r="T106" s="287">
        <f t="shared" si="107"/>
        <v>1.6733051126438359</v>
      </c>
      <c r="U106" s="289">
        <f t="shared" si="107"/>
        <v>1.9184577138941583</v>
      </c>
      <c r="V106" s="290">
        <f t="shared" si="107"/>
        <v>2.380182766091715</v>
      </c>
      <c r="W106" s="290">
        <f t="shared" si="107"/>
        <v>0.14042791745233343</v>
      </c>
      <c r="X106" s="290">
        <f t="shared" si="107"/>
        <v>2.0658242906888282</v>
      </c>
      <c r="Y106" s="291">
        <f t="shared" si="107"/>
        <v>1.5328241908320741</v>
      </c>
      <c r="AA106" s="96"/>
    </row>
    <row r="107" spans="1:27" ht="12.75">
      <c r="A107" s="393" t="s">
        <v>252</v>
      </c>
      <c r="B107" s="314">
        <v>94.34</v>
      </c>
      <c r="C107" s="314">
        <v>99.89</v>
      </c>
      <c r="D107" s="314">
        <v>71.87</v>
      </c>
      <c r="E107" s="314">
        <v>90.3</v>
      </c>
      <c r="F107" s="295">
        <v>10.07</v>
      </c>
      <c r="G107" s="295">
        <v>62.93</v>
      </c>
      <c r="H107" s="295">
        <v>8.36</v>
      </c>
      <c r="I107" s="315">
        <v>20.239999999999998</v>
      </c>
      <c r="J107" s="295">
        <v>92.38</v>
      </c>
      <c r="K107" s="295">
        <v>99.79</v>
      </c>
      <c r="L107" s="295">
        <v>65.430000000000007</v>
      </c>
      <c r="M107" s="295">
        <v>86.51</v>
      </c>
      <c r="N107" s="316">
        <v>10</v>
      </c>
      <c r="O107" s="317">
        <v>56.19</v>
      </c>
      <c r="P107" s="317">
        <v>0.5</v>
      </c>
      <c r="Q107" s="318">
        <v>2.2400000000000002</v>
      </c>
      <c r="R107" s="317">
        <v>73.819999999999993</v>
      </c>
      <c r="S107" s="317">
        <v>94.75</v>
      </c>
      <c r="T107" s="317">
        <v>38.86</v>
      </c>
      <c r="U107" s="319">
        <v>63.69</v>
      </c>
      <c r="V107" s="320">
        <v>89.61</v>
      </c>
      <c r="W107" s="320">
        <v>99.5</v>
      </c>
      <c r="X107" s="320">
        <v>62.48</v>
      </c>
      <c r="Y107" s="321">
        <v>84.97</v>
      </c>
      <c r="AA107" s="96"/>
    </row>
    <row r="108" spans="1:27" ht="12.75">
      <c r="A108" s="392"/>
      <c r="B108" s="263">
        <v>94.37</v>
      </c>
      <c r="C108" s="263">
        <v>99.88</v>
      </c>
      <c r="D108" s="263">
        <v>71.87</v>
      </c>
      <c r="E108" s="263">
        <v>90.3</v>
      </c>
      <c r="F108" s="264">
        <v>15.23</v>
      </c>
      <c r="G108" s="264">
        <v>69.180000000000007</v>
      </c>
      <c r="H108" s="264">
        <v>12.7</v>
      </c>
      <c r="I108" s="265">
        <v>27.79</v>
      </c>
      <c r="J108" s="264">
        <v>94.02</v>
      </c>
      <c r="K108" s="264">
        <v>99.87</v>
      </c>
      <c r="L108" s="264">
        <v>64.819999999999993</v>
      </c>
      <c r="M108" s="264">
        <v>86</v>
      </c>
      <c r="N108" s="266">
        <v>12.74</v>
      </c>
      <c r="O108" s="267">
        <v>61.77</v>
      </c>
      <c r="P108" s="267">
        <v>0.89</v>
      </c>
      <c r="Q108" s="268">
        <v>3.35</v>
      </c>
      <c r="R108" s="267">
        <v>72.349999999999994</v>
      </c>
      <c r="S108" s="267">
        <v>98.15</v>
      </c>
      <c r="T108" s="267">
        <v>39.25</v>
      </c>
      <c r="U108" s="269">
        <v>64.22</v>
      </c>
      <c r="V108" s="270">
        <v>91.91</v>
      </c>
      <c r="W108" s="270">
        <v>99.84</v>
      </c>
      <c r="X108" s="270">
        <v>58.81</v>
      </c>
      <c r="Y108" s="271">
        <v>82.54</v>
      </c>
      <c r="AA108" s="96"/>
    </row>
    <row r="109" spans="1:27" ht="12.75">
      <c r="A109" s="392"/>
      <c r="B109" s="263">
        <v>93.72</v>
      </c>
      <c r="C109" s="263">
        <v>99.87</v>
      </c>
      <c r="D109" s="263">
        <v>71.87</v>
      </c>
      <c r="E109" s="263">
        <v>90.3</v>
      </c>
      <c r="F109" s="264">
        <v>16.54</v>
      </c>
      <c r="G109" s="264">
        <v>64.84</v>
      </c>
      <c r="H109" s="264">
        <v>7.78</v>
      </c>
      <c r="I109" s="265">
        <v>18.809999999999999</v>
      </c>
      <c r="J109" s="264">
        <v>93.61</v>
      </c>
      <c r="K109" s="264">
        <v>99.84</v>
      </c>
      <c r="L109" s="264">
        <v>64.680000000000007</v>
      </c>
      <c r="M109" s="264">
        <v>86.17</v>
      </c>
      <c r="N109" s="266">
        <v>11.21</v>
      </c>
      <c r="O109" s="267">
        <v>60.41</v>
      </c>
      <c r="P109" s="267">
        <v>0.89</v>
      </c>
      <c r="Q109" s="268">
        <v>3.1</v>
      </c>
      <c r="R109" s="267">
        <v>75.489999999999995</v>
      </c>
      <c r="S109" s="267">
        <v>98.02</v>
      </c>
      <c r="T109" s="267">
        <v>38.08</v>
      </c>
      <c r="U109" s="269">
        <v>63.6</v>
      </c>
      <c r="V109" s="270">
        <v>82.88</v>
      </c>
      <c r="W109" s="270">
        <v>98.71</v>
      </c>
      <c r="X109" s="270">
        <v>62.92</v>
      </c>
      <c r="Y109" s="271">
        <v>85.29</v>
      </c>
      <c r="AA109" s="96"/>
    </row>
    <row r="110" spans="1:27" ht="12.75">
      <c r="A110" s="392"/>
      <c r="B110" s="263">
        <v>94.15</v>
      </c>
      <c r="C110" s="263">
        <v>99.9</v>
      </c>
      <c r="D110" s="263">
        <v>71.87</v>
      </c>
      <c r="E110" s="263">
        <v>90.3</v>
      </c>
      <c r="F110" s="264">
        <v>20.010000000000002</v>
      </c>
      <c r="G110" s="264">
        <v>63.88</v>
      </c>
      <c r="H110" s="264">
        <v>10.24</v>
      </c>
      <c r="I110" s="265">
        <v>23.15</v>
      </c>
      <c r="J110" s="264">
        <v>93.56</v>
      </c>
      <c r="K110" s="264">
        <v>99.82</v>
      </c>
      <c r="L110" s="264">
        <v>63.89</v>
      </c>
      <c r="M110" s="264">
        <v>85.61</v>
      </c>
      <c r="N110" s="266">
        <v>13.87</v>
      </c>
      <c r="O110" s="267">
        <v>56.29</v>
      </c>
      <c r="P110" s="267">
        <v>0.82</v>
      </c>
      <c r="Q110" s="268">
        <v>3.05</v>
      </c>
      <c r="R110" s="267">
        <v>66.44</v>
      </c>
      <c r="S110" s="267">
        <v>96.09</v>
      </c>
      <c r="T110" s="267">
        <v>43.92</v>
      </c>
      <c r="U110" s="269">
        <v>68.98</v>
      </c>
      <c r="V110" s="270">
        <v>91.96</v>
      </c>
      <c r="W110" s="270">
        <v>99.77</v>
      </c>
      <c r="X110" s="270">
        <v>58.25</v>
      </c>
      <c r="Y110" s="271">
        <v>81.709999999999994</v>
      </c>
      <c r="AA110" s="96"/>
    </row>
    <row r="111" spans="1:27" ht="12.75">
      <c r="A111" s="392"/>
      <c r="B111" s="302">
        <v>94.41</v>
      </c>
      <c r="C111" s="302">
        <v>99.88</v>
      </c>
      <c r="D111" s="302">
        <v>71.87</v>
      </c>
      <c r="E111" s="302">
        <v>90.3</v>
      </c>
      <c r="F111" s="303">
        <v>29.04</v>
      </c>
      <c r="G111" s="303">
        <v>81.53</v>
      </c>
      <c r="H111" s="303">
        <v>8.67</v>
      </c>
      <c r="I111" s="304">
        <v>20.29</v>
      </c>
      <c r="J111" s="303">
        <v>94.02</v>
      </c>
      <c r="K111" s="303">
        <v>99.82</v>
      </c>
      <c r="L111" s="303">
        <v>65.23</v>
      </c>
      <c r="M111" s="303">
        <v>86.57</v>
      </c>
      <c r="N111" s="305">
        <v>17.64</v>
      </c>
      <c r="O111" s="306">
        <v>65.08</v>
      </c>
      <c r="P111" s="306">
        <v>0.75</v>
      </c>
      <c r="Q111" s="307">
        <v>2.9</v>
      </c>
      <c r="R111" s="306">
        <v>77.459999999999994</v>
      </c>
      <c r="S111" s="306">
        <v>97.53</v>
      </c>
      <c r="T111" s="306">
        <v>43.82</v>
      </c>
      <c r="U111" s="322">
        <v>69.19</v>
      </c>
      <c r="V111" s="308">
        <v>91.28</v>
      </c>
      <c r="W111" s="308">
        <v>99.72</v>
      </c>
      <c r="X111" s="308">
        <v>63.34</v>
      </c>
      <c r="Y111" s="309">
        <v>85.47</v>
      </c>
      <c r="AA111" s="96"/>
    </row>
    <row r="112" spans="1:27" ht="12.75">
      <c r="A112" s="272" t="s">
        <v>247</v>
      </c>
      <c r="B112" s="273">
        <f t="shared" ref="B112:Y112" si="108">AVERAGE(B107:B111)</f>
        <v>94.198000000000008</v>
      </c>
      <c r="C112" s="273">
        <f t="shared" si="108"/>
        <v>99.883999999999986</v>
      </c>
      <c r="D112" s="273">
        <f t="shared" si="108"/>
        <v>71.87</v>
      </c>
      <c r="E112" s="273">
        <f t="shared" si="108"/>
        <v>90.3</v>
      </c>
      <c r="F112" s="274">
        <f t="shared" si="108"/>
        <v>18.178000000000004</v>
      </c>
      <c r="G112" s="274">
        <f t="shared" si="108"/>
        <v>68.472000000000008</v>
      </c>
      <c r="H112" s="274">
        <f t="shared" si="108"/>
        <v>9.5500000000000007</v>
      </c>
      <c r="I112" s="275">
        <f t="shared" si="108"/>
        <v>22.056000000000001</v>
      </c>
      <c r="J112" s="274">
        <f t="shared" si="108"/>
        <v>93.518000000000001</v>
      </c>
      <c r="K112" s="274">
        <f t="shared" si="108"/>
        <v>99.828000000000003</v>
      </c>
      <c r="L112" s="274">
        <f t="shared" si="108"/>
        <v>64.81</v>
      </c>
      <c r="M112" s="274">
        <f t="shared" si="108"/>
        <v>86.171999999999997</v>
      </c>
      <c r="N112" s="276">
        <f t="shared" si="108"/>
        <v>13.092000000000002</v>
      </c>
      <c r="O112" s="277">
        <f t="shared" si="108"/>
        <v>59.948</v>
      </c>
      <c r="P112" s="277">
        <f t="shared" si="108"/>
        <v>0.77</v>
      </c>
      <c r="Q112" s="278">
        <f t="shared" si="108"/>
        <v>2.9279999999999999</v>
      </c>
      <c r="R112" s="277">
        <f t="shared" si="108"/>
        <v>73.111999999999995</v>
      </c>
      <c r="S112" s="277">
        <f t="shared" si="108"/>
        <v>96.907999999999987</v>
      </c>
      <c r="T112" s="277">
        <f t="shared" si="108"/>
        <v>40.786000000000001</v>
      </c>
      <c r="U112" s="279">
        <f t="shared" si="108"/>
        <v>65.936000000000007</v>
      </c>
      <c r="V112" s="280">
        <f t="shared" si="108"/>
        <v>89.527999999999992</v>
      </c>
      <c r="W112" s="280">
        <f t="shared" si="108"/>
        <v>99.507999999999996</v>
      </c>
      <c r="X112" s="280">
        <f t="shared" si="108"/>
        <v>61.159999999999989</v>
      </c>
      <c r="Y112" s="281">
        <f t="shared" si="108"/>
        <v>83.996000000000009</v>
      </c>
      <c r="AA112" s="96"/>
    </row>
    <row r="113" spans="1:27" ht="12.75">
      <c r="A113" s="282" t="s">
        <v>248</v>
      </c>
      <c r="B113" s="283">
        <f t="shared" ref="B113:Y113" si="109">STDEV(B107:B111)</f>
        <v>0.28525427253592611</v>
      </c>
      <c r="C113" s="283">
        <f t="shared" si="109"/>
        <v>1.1401754250992852E-2</v>
      </c>
      <c r="D113" s="283">
        <f t="shared" si="109"/>
        <v>0</v>
      </c>
      <c r="E113" s="283">
        <f t="shared" si="109"/>
        <v>0</v>
      </c>
      <c r="F113" s="284">
        <f t="shared" si="109"/>
        <v>7.0436616897747051</v>
      </c>
      <c r="G113" s="284">
        <f t="shared" si="109"/>
        <v>7.6812153986201945</v>
      </c>
      <c r="H113" s="284">
        <f t="shared" si="109"/>
        <v>1.9825488644671523</v>
      </c>
      <c r="I113" s="285">
        <f t="shared" si="109"/>
        <v>3.5717194738668865</v>
      </c>
      <c r="J113" s="284">
        <f t="shared" si="109"/>
        <v>0.67254739609933856</v>
      </c>
      <c r="K113" s="284">
        <f t="shared" si="109"/>
        <v>2.9495762407506128E-2</v>
      </c>
      <c r="L113" s="284">
        <f t="shared" si="109"/>
        <v>0.59669925423114301</v>
      </c>
      <c r="M113" s="284">
        <f t="shared" si="109"/>
        <v>0.39309032040995318</v>
      </c>
      <c r="N113" s="286">
        <f t="shared" si="109"/>
        <v>2.93751085104378</v>
      </c>
      <c r="O113" s="287">
        <f t="shared" si="109"/>
        <v>3.7872839872394048</v>
      </c>
      <c r="P113" s="287">
        <f t="shared" si="109"/>
        <v>0.16170961628796196</v>
      </c>
      <c r="Q113" s="288">
        <f t="shared" si="109"/>
        <v>0.41733679444784394</v>
      </c>
      <c r="R113" s="287">
        <f t="shared" si="109"/>
        <v>4.1880031041058201</v>
      </c>
      <c r="S113" s="287">
        <f t="shared" si="109"/>
        <v>1.4570586810420507</v>
      </c>
      <c r="T113" s="287">
        <f t="shared" si="109"/>
        <v>2.8468544044260509</v>
      </c>
      <c r="U113" s="289">
        <f t="shared" si="109"/>
        <v>2.8853301370900359</v>
      </c>
      <c r="V113" s="290">
        <f t="shared" si="109"/>
        <v>3.8360357141194612</v>
      </c>
      <c r="W113" s="290">
        <f t="shared" si="109"/>
        <v>0.46386420426672548</v>
      </c>
      <c r="X113" s="290">
        <f t="shared" si="109"/>
        <v>2.4281165540393648</v>
      </c>
      <c r="Y113" s="291">
        <f t="shared" si="109"/>
        <v>1.7422341978046478</v>
      </c>
      <c r="AA113" s="96"/>
    </row>
    <row r="114" spans="1:27" ht="12.75">
      <c r="A114" s="393" t="s">
        <v>253</v>
      </c>
      <c r="B114" s="314">
        <v>94.74</v>
      </c>
      <c r="C114" s="314">
        <v>99.9</v>
      </c>
      <c r="D114" s="314">
        <v>69.760000000000005</v>
      </c>
      <c r="E114" s="314">
        <v>89.08</v>
      </c>
      <c r="F114" s="295">
        <v>92.64</v>
      </c>
      <c r="G114" s="295">
        <v>99.75</v>
      </c>
      <c r="H114" s="295">
        <v>65.95</v>
      </c>
      <c r="I114" s="315">
        <v>86.71</v>
      </c>
      <c r="J114" s="295">
        <v>94.57</v>
      </c>
      <c r="K114" s="295">
        <v>99.85</v>
      </c>
      <c r="L114" s="295">
        <v>62.44</v>
      </c>
      <c r="M114" s="295">
        <v>84.83</v>
      </c>
      <c r="N114" s="316">
        <v>91.36</v>
      </c>
      <c r="O114" s="317">
        <v>99.63</v>
      </c>
      <c r="P114" s="317">
        <v>61.7</v>
      </c>
      <c r="Q114" s="318">
        <v>83.92</v>
      </c>
      <c r="R114" s="317">
        <v>93.52</v>
      </c>
      <c r="S114" s="317">
        <v>99.82</v>
      </c>
      <c r="T114" s="317">
        <v>58.72</v>
      </c>
      <c r="U114" s="319">
        <v>82.11</v>
      </c>
      <c r="V114" s="320">
        <v>94.22</v>
      </c>
      <c r="W114" s="320">
        <v>99.77</v>
      </c>
      <c r="X114" s="320">
        <v>64.42</v>
      </c>
      <c r="Y114" s="321">
        <v>86.18</v>
      </c>
      <c r="AA114" s="96"/>
    </row>
    <row r="115" spans="1:27" ht="12.75">
      <c r="A115" s="392"/>
      <c r="B115" s="263">
        <v>94.7</v>
      </c>
      <c r="C115" s="263">
        <v>99.87</v>
      </c>
      <c r="D115" s="263">
        <v>69.760000000000005</v>
      </c>
      <c r="E115" s="263">
        <v>89.08</v>
      </c>
      <c r="F115" s="264">
        <v>93.05</v>
      </c>
      <c r="G115" s="264">
        <v>99.78</v>
      </c>
      <c r="H115" s="264">
        <v>66.760000000000005</v>
      </c>
      <c r="I115" s="265">
        <v>87.23</v>
      </c>
      <c r="J115" s="264">
        <v>94.75</v>
      </c>
      <c r="K115" s="264">
        <v>99.85</v>
      </c>
      <c r="L115" s="264">
        <v>62.9</v>
      </c>
      <c r="M115" s="264">
        <v>84.83</v>
      </c>
      <c r="N115" s="266">
        <v>92.01</v>
      </c>
      <c r="O115" s="267">
        <v>99.72</v>
      </c>
      <c r="P115" s="267">
        <v>61.67</v>
      </c>
      <c r="Q115" s="268">
        <v>84</v>
      </c>
      <c r="R115" s="267">
        <v>93.78</v>
      </c>
      <c r="S115" s="267">
        <v>99.85</v>
      </c>
      <c r="T115" s="267">
        <v>59.5</v>
      </c>
      <c r="U115" s="269">
        <v>82.66</v>
      </c>
      <c r="V115" s="270">
        <v>94.42</v>
      </c>
      <c r="W115" s="270">
        <v>99.85</v>
      </c>
      <c r="X115" s="270">
        <v>64.83</v>
      </c>
      <c r="Y115" s="271">
        <v>86.5</v>
      </c>
      <c r="AA115" s="96"/>
    </row>
    <row r="116" spans="1:27" ht="12.75">
      <c r="A116" s="392"/>
      <c r="B116" s="263">
        <v>95.01</v>
      </c>
      <c r="C116" s="263">
        <v>99.89</v>
      </c>
      <c r="D116" s="263">
        <v>69.760000000000005</v>
      </c>
      <c r="E116" s="263">
        <v>89.08</v>
      </c>
      <c r="F116" s="264">
        <v>93.22</v>
      </c>
      <c r="G116" s="264">
        <v>99.82</v>
      </c>
      <c r="H116" s="264">
        <v>66.709999999999994</v>
      </c>
      <c r="I116" s="265">
        <v>87.23</v>
      </c>
      <c r="J116" s="264">
        <v>94.63</v>
      </c>
      <c r="K116" s="264">
        <v>99.88</v>
      </c>
      <c r="L116" s="264">
        <v>61.99</v>
      </c>
      <c r="M116" s="264">
        <v>84.65</v>
      </c>
      <c r="N116" s="266">
        <v>91.48</v>
      </c>
      <c r="O116" s="267">
        <v>99.65</v>
      </c>
      <c r="P116" s="267">
        <v>61.7</v>
      </c>
      <c r="Q116" s="268">
        <v>83.97</v>
      </c>
      <c r="R116" s="267">
        <v>93.53</v>
      </c>
      <c r="S116" s="267">
        <v>99.86</v>
      </c>
      <c r="T116" s="267">
        <v>57.91</v>
      </c>
      <c r="U116" s="269">
        <v>81.59</v>
      </c>
      <c r="V116" s="270">
        <v>94.33</v>
      </c>
      <c r="W116" s="270">
        <v>99.89</v>
      </c>
      <c r="X116" s="270">
        <v>65.180000000000007</v>
      </c>
      <c r="Y116" s="271">
        <v>86.71</v>
      </c>
      <c r="AA116" s="96"/>
    </row>
    <row r="117" spans="1:27" ht="12.75">
      <c r="A117" s="392"/>
      <c r="B117" s="263">
        <v>94.99</v>
      </c>
      <c r="C117" s="263">
        <v>99.86</v>
      </c>
      <c r="D117" s="263">
        <v>69.760000000000005</v>
      </c>
      <c r="E117" s="263">
        <v>89.08</v>
      </c>
      <c r="F117" s="264">
        <v>92.18</v>
      </c>
      <c r="G117" s="264">
        <v>99.69</v>
      </c>
      <c r="H117" s="264">
        <v>66.95</v>
      </c>
      <c r="I117" s="265">
        <v>87.39</v>
      </c>
      <c r="J117" s="264">
        <v>94.37</v>
      </c>
      <c r="K117" s="264">
        <v>99.78</v>
      </c>
      <c r="L117" s="264">
        <v>62.34</v>
      </c>
      <c r="M117" s="264">
        <v>84.53</v>
      </c>
      <c r="N117" s="266">
        <v>89.32</v>
      </c>
      <c r="O117" s="267">
        <v>99.39</v>
      </c>
      <c r="P117" s="267">
        <v>62.32</v>
      </c>
      <c r="Q117" s="268">
        <v>84.54</v>
      </c>
      <c r="R117" s="267">
        <v>93.08</v>
      </c>
      <c r="S117" s="267">
        <v>99.76</v>
      </c>
      <c r="T117" s="267">
        <v>56.38</v>
      </c>
      <c r="U117" s="269">
        <v>80.290000000000006</v>
      </c>
      <c r="V117" s="270">
        <v>94.51</v>
      </c>
      <c r="W117" s="270">
        <v>99.81</v>
      </c>
      <c r="X117" s="270">
        <v>64.650000000000006</v>
      </c>
      <c r="Y117" s="271">
        <v>86.3</v>
      </c>
      <c r="AA117" s="96"/>
    </row>
    <row r="118" spans="1:27" ht="12.75">
      <c r="A118" s="392"/>
      <c r="B118" s="302">
        <v>93.99</v>
      </c>
      <c r="C118" s="302">
        <v>99.84</v>
      </c>
      <c r="D118" s="302">
        <v>69.760000000000005</v>
      </c>
      <c r="E118" s="302">
        <v>89.08</v>
      </c>
      <c r="F118" s="303">
        <v>93.42</v>
      </c>
      <c r="G118" s="303">
        <v>99.89</v>
      </c>
      <c r="H118" s="303">
        <v>66.34</v>
      </c>
      <c r="I118" s="304">
        <v>87.12</v>
      </c>
      <c r="J118" s="303">
        <v>94.59</v>
      </c>
      <c r="K118" s="303">
        <v>99.89</v>
      </c>
      <c r="L118" s="303">
        <v>62.77</v>
      </c>
      <c r="M118" s="303">
        <v>85.14</v>
      </c>
      <c r="N118" s="305">
        <v>92.61</v>
      </c>
      <c r="O118" s="306">
        <v>99.83</v>
      </c>
      <c r="P118" s="306">
        <v>61.98</v>
      </c>
      <c r="Q118" s="307">
        <v>84.32</v>
      </c>
      <c r="R118" s="306">
        <v>93.6</v>
      </c>
      <c r="S118" s="306">
        <v>99.84</v>
      </c>
      <c r="T118" s="306">
        <v>59.43</v>
      </c>
      <c r="U118" s="322">
        <v>82.62</v>
      </c>
      <c r="V118" s="308">
        <v>94.55</v>
      </c>
      <c r="W118" s="308">
        <v>99.89</v>
      </c>
      <c r="X118" s="308">
        <v>64.150000000000006</v>
      </c>
      <c r="Y118" s="309">
        <v>85.7</v>
      </c>
      <c r="AA118" s="96"/>
    </row>
    <row r="119" spans="1:27" ht="12.75">
      <c r="A119" s="272" t="s">
        <v>247</v>
      </c>
      <c r="B119" s="273">
        <f t="shared" ref="B119:Y119" si="110">AVERAGE(B114:B118)</f>
        <v>94.686000000000007</v>
      </c>
      <c r="C119" s="273">
        <f t="shared" si="110"/>
        <v>99.872</v>
      </c>
      <c r="D119" s="273">
        <f t="shared" si="110"/>
        <v>69.760000000000005</v>
      </c>
      <c r="E119" s="273">
        <f t="shared" si="110"/>
        <v>89.08</v>
      </c>
      <c r="F119" s="274">
        <f t="shared" si="110"/>
        <v>92.902000000000001</v>
      </c>
      <c r="G119" s="274">
        <f t="shared" si="110"/>
        <v>99.786000000000001</v>
      </c>
      <c r="H119" s="274">
        <f t="shared" si="110"/>
        <v>66.542000000000002</v>
      </c>
      <c r="I119" s="275">
        <f t="shared" si="110"/>
        <v>87.135999999999996</v>
      </c>
      <c r="J119" s="274">
        <f t="shared" si="110"/>
        <v>94.581999999999994</v>
      </c>
      <c r="K119" s="274">
        <f t="shared" si="110"/>
        <v>99.85</v>
      </c>
      <c r="L119" s="274">
        <f t="shared" si="110"/>
        <v>62.488</v>
      </c>
      <c r="M119" s="274">
        <f t="shared" si="110"/>
        <v>84.796000000000006</v>
      </c>
      <c r="N119" s="276">
        <f t="shared" si="110"/>
        <v>91.356000000000009</v>
      </c>
      <c r="O119" s="277">
        <f t="shared" si="110"/>
        <v>99.643999999999991</v>
      </c>
      <c r="P119" s="277">
        <f t="shared" si="110"/>
        <v>61.874000000000002</v>
      </c>
      <c r="Q119" s="278">
        <f t="shared" si="110"/>
        <v>84.15</v>
      </c>
      <c r="R119" s="277">
        <f t="shared" si="110"/>
        <v>93.501999999999995</v>
      </c>
      <c r="S119" s="277">
        <f t="shared" si="110"/>
        <v>99.825999999999993</v>
      </c>
      <c r="T119" s="277">
        <f t="shared" si="110"/>
        <v>58.387999999999998</v>
      </c>
      <c r="U119" s="279">
        <f t="shared" si="110"/>
        <v>81.853999999999999</v>
      </c>
      <c r="V119" s="280">
        <f t="shared" si="110"/>
        <v>94.405999999999992</v>
      </c>
      <c r="W119" s="280">
        <f t="shared" si="110"/>
        <v>99.841999999999999</v>
      </c>
      <c r="X119" s="280">
        <f t="shared" si="110"/>
        <v>64.646000000000001</v>
      </c>
      <c r="Y119" s="281">
        <f t="shared" si="110"/>
        <v>86.277999999999992</v>
      </c>
      <c r="AA119" s="96"/>
    </row>
    <row r="120" spans="1:27" ht="12.75">
      <c r="A120" s="282" t="s">
        <v>248</v>
      </c>
      <c r="B120" s="283">
        <f t="shared" ref="B120:Y120" si="111">STDEV(B114:B118)</f>
        <v>0.41379946834185483</v>
      </c>
      <c r="C120" s="283">
        <f t="shared" si="111"/>
        <v>2.3874672772627253E-2</v>
      </c>
      <c r="D120" s="283">
        <f t="shared" si="111"/>
        <v>0</v>
      </c>
      <c r="E120" s="283">
        <f t="shared" si="111"/>
        <v>0</v>
      </c>
      <c r="F120" s="284">
        <f t="shared" si="111"/>
        <v>0.49529789016307907</v>
      </c>
      <c r="G120" s="284">
        <f t="shared" si="111"/>
        <v>7.503332592921641E-2</v>
      </c>
      <c r="H120" s="284">
        <f t="shared" si="111"/>
        <v>0.39795728413989284</v>
      </c>
      <c r="I120" s="285">
        <f t="shared" si="111"/>
        <v>0.25686572367679134</v>
      </c>
      <c r="J120" s="284">
        <f t="shared" si="111"/>
        <v>0.13754999091239326</v>
      </c>
      <c r="K120" s="284">
        <f t="shared" si="111"/>
        <v>4.3011626335212008E-2</v>
      </c>
      <c r="L120" s="284">
        <f t="shared" si="111"/>
        <v>0.36106786065779861</v>
      </c>
      <c r="M120" s="284">
        <f t="shared" si="111"/>
        <v>0.23060789231940756</v>
      </c>
      <c r="N120" s="286">
        <f t="shared" si="111"/>
        <v>1.2410600307801427</v>
      </c>
      <c r="O120" s="287">
        <f t="shared" si="111"/>
        <v>0.16211107303327485</v>
      </c>
      <c r="P120" s="287">
        <f t="shared" si="111"/>
        <v>0.27942798714516631</v>
      </c>
      <c r="Q120" s="288">
        <f t="shared" si="111"/>
        <v>0.26870057685088911</v>
      </c>
      <c r="R120" s="287">
        <f t="shared" si="111"/>
        <v>0.25791471458604337</v>
      </c>
      <c r="S120" s="287">
        <f t="shared" si="111"/>
        <v>3.9749213828701037E-2</v>
      </c>
      <c r="T120" s="287">
        <f t="shared" si="111"/>
        <v>1.2935493805804237</v>
      </c>
      <c r="U120" s="289">
        <f t="shared" si="111"/>
        <v>0.97694933338428303</v>
      </c>
      <c r="V120" s="290">
        <f t="shared" si="111"/>
        <v>0.13427583550289399</v>
      </c>
      <c r="W120" s="290">
        <f t="shared" si="111"/>
        <v>5.2153619241622255E-2</v>
      </c>
      <c r="X120" s="290">
        <f t="shared" si="111"/>
        <v>0.39246655908497491</v>
      </c>
      <c r="Y120" s="291">
        <f t="shared" si="111"/>
        <v>0.38081491567426484</v>
      </c>
      <c r="AA120" s="96"/>
    </row>
    <row r="121" spans="1:27" ht="12.75">
      <c r="A121" s="393" t="s">
        <v>36</v>
      </c>
      <c r="B121" s="314">
        <v>81.97</v>
      </c>
      <c r="C121" s="314">
        <v>99.59</v>
      </c>
      <c r="D121" s="314">
        <v>58.18</v>
      </c>
      <c r="E121" s="314">
        <v>80.61</v>
      </c>
      <c r="F121" s="295">
        <v>74.39</v>
      </c>
      <c r="G121" s="295">
        <v>99.19</v>
      </c>
      <c r="H121" s="295">
        <v>40.81</v>
      </c>
      <c r="I121" s="315">
        <v>66.41</v>
      </c>
      <c r="J121" s="295">
        <v>87.17</v>
      </c>
      <c r="K121" s="295">
        <v>99.68</v>
      </c>
      <c r="L121" s="295">
        <v>44.68</v>
      </c>
      <c r="M121" s="295">
        <v>70.61</v>
      </c>
      <c r="N121" s="316">
        <v>72.430000000000007</v>
      </c>
      <c r="O121" s="317">
        <v>99.12</v>
      </c>
      <c r="P121" s="317">
        <v>35.950000000000003</v>
      </c>
      <c r="Q121" s="318">
        <v>61.84</v>
      </c>
      <c r="R121" s="317">
        <v>84.78</v>
      </c>
      <c r="S121" s="317">
        <v>99.63</v>
      </c>
      <c r="T121" s="317">
        <v>39.39</v>
      </c>
      <c r="U121" s="319">
        <v>65.180000000000007</v>
      </c>
      <c r="V121" s="320">
        <v>81.3</v>
      </c>
      <c r="W121" s="320">
        <v>99.11</v>
      </c>
      <c r="X121" s="320">
        <v>42.73</v>
      </c>
      <c r="Y121" s="321">
        <v>68.650000000000006</v>
      </c>
      <c r="AA121" s="96"/>
    </row>
    <row r="122" spans="1:27" ht="12.75">
      <c r="A122" s="392"/>
      <c r="B122" s="263">
        <v>81.84</v>
      </c>
      <c r="C122" s="263">
        <v>99.62</v>
      </c>
      <c r="D122" s="263">
        <v>58.18</v>
      </c>
      <c r="E122" s="263">
        <v>80.61</v>
      </c>
      <c r="F122" s="264">
        <v>74.400000000000006</v>
      </c>
      <c r="G122" s="264">
        <v>98.93</v>
      </c>
      <c r="H122" s="264">
        <v>41.76</v>
      </c>
      <c r="I122" s="265">
        <v>67.349999999999994</v>
      </c>
      <c r="J122" s="264">
        <v>89.32</v>
      </c>
      <c r="K122" s="264">
        <v>99.71</v>
      </c>
      <c r="L122" s="264">
        <v>44.79</v>
      </c>
      <c r="M122" s="264">
        <v>70.72</v>
      </c>
      <c r="N122" s="266">
        <v>71.11</v>
      </c>
      <c r="O122" s="267">
        <v>98.82</v>
      </c>
      <c r="P122" s="267">
        <v>36.53</v>
      </c>
      <c r="Q122" s="268">
        <v>62.61</v>
      </c>
      <c r="R122" s="267">
        <v>87.28</v>
      </c>
      <c r="S122" s="267">
        <v>99.57</v>
      </c>
      <c r="T122" s="267">
        <v>40.22</v>
      </c>
      <c r="U122" s="269">
        <v>66.400000000000006</v>
      </c>
      <c r="V122" s="270">
        <v>86.26</v>
      </c>
      <c r="W122" s="270">
        <v>99.45</v>
      </c>
      <c r="X122" s="270">
        <v>39.18</v>
      </c>
      <c r="Y122" s="271">
        <v>65.22</v>
      </c>
      <c r="AA122" s="96"/>
    </row>
    <row r="123" spans="1:27" ht="12.75">
      <c r="A123" s="392"/>
      <c r="B123" s="263">
        <v>88.11</v>
      </c>
      <c r="C123" s="263">
        <v>99.65</v>
      </c>
      <c r="D123" s="263">
        <v>58.18</v>
      </c>
      <c r="E123" s="263">
        <v>80.61</v>
      </c>
      <c r="F123" s="264">
        <v>84.95</v>
      </c>
      <c r="G123" s="264">
        <v>99.26</v>
      </c>
      <c r="H123" s="264">
        <v>40.090000000000003</v>
      </c>
      <c r="I123" s="265">
        <v>65.62</v>
      </c>
      <c r="J123" s="264">
        <v>87.85</v>
      </c>
      <c r="K123" s="264">
        <v>99.41</v>
      </c>
      <c r="L123" s="264">
        <v>43.36</v>
      </c>
      <c r="M123" s="264">
        <v>69.31</v>
      </c>
      <c r="N123" s="266">
        <v>83.67</v>
      </c>
      <c r="O123" s="267">
        <v>99.15</v>
      </c>
      <c r="P123" s="267">
        <v>35.44</v>
      </c>
      <c r="Q123" s="268">
        <v>61.35</v>
      </c>
      <c r="R123" s="267">
        <v>87.13</v>
      </c>
      <c r="S123" s="267">
        <v>99.44</v>
      </c>
      <c r="T123" s="267">
        <v>35.479999999999997</v>
      </c>
      <c r="U123" s="269">
        <v>61.67</v>
      </c>
      <c r="V123" s="270">
        <v>87.96</v>
      </c>
      <c r="W123" s="270">
        <v>99.62</v>
      </c>
      <c r="X123" s="270">
        <v>40.71</v>
      </c>
      <c r="Y123" s="271">
        <v>66.16</v>
      </c>
      <c r="AA123" s="96"/>
    </row>
    <row r="124" spans="1:27" ht="12.75">
      <c r="A124" s="392"/>
      <c r="B124" s="263">
        <v>89.11</v>
      </c>
      <c r="C124" s="263">
        <v>99.81</v>
      </c>
      <c r="D124" s="263">
        <v>58.18</v>
      </c>
      <c r="E124" s="263">
        <v>80.61</v>
      </c>
      <c r="F124" s="264">
        <v>85.39</v>
      </c>
      <c r="G124" s="264">
        <v>99.63</v>
      </c>
      <c r="H124" s="264">
        <v>39.68</v>
      </c>
      <c r="I124" s="265">
        <v>65.36</v>
      </c>
      <c r="J124" s="264">
        <v>87.68</v>
      </c>
      <c r="K124" s="264">
        <v>99.46</v>
      </c>
      <c r="L124" s="264">
        <v>44.44</v>
      </c>
      <c r="M124" s="264">
        <v>70.319999999999993</v>
      </c>
      <c r="N124" s="266">
        <v>84.14</v>
      </c>
      <c r="O124" s="267">
        <v>99.31</v>
      </c>
      <c r="P124" s="267">
        <v>35.47</v>
      </c>
      <c r="Q124" s="268">
        <v>61.29</v>
      </c>
      <c r="R124" s="267">
        <v>86.23</v>
      </c>
      <c r="S124" s="267">
        <v>99.41</v>
      </c>
      <c r="T124" s="267">
        <v>40.74</v>
      </c>
      <c r="U124" s="269">
        <v>66.94</v>
      </c>
      <c r="V124" s="270">
        <v>85.74</v>
      </c>
      <c r="W124" s="270">
        <v>99.52</v>
      </c>
      <c r="X124" s="270">
        <v>41.12</v>
      </c>
      <c r="Y124" s="271">
        <v>67.260000000000005</v>
      </c>
      <c r="AA124" s="96"/>
    </row>
    <row r="125" spans="1:27" ht="12.75">
      <c r="A125" s="392"/>
      <c r="B125" s="263">
        <v>88.78</v>
      </c>
      <c r="C125" s="263">
        <v>99.76</v>
      </c>
      <c r="D125" s="263">
        <v>58.18</v>
      </c>
      <c r="E125" s="263">
        <v>80.61</v>
      </c>
      <c r="F125" s="264">
        <v>85.11</v>
      </c>
      <c r="G125" s="264">
        <v>99.33</v>
      </c>
      <c r="H125" s="264">
        <v>40.36</v>
      </c>
      <c r="I125" s="265">
        <v>65.97</v>
      </c>
      <c r="J125" s="264">
        <v>86.82</v>
      </c>
      <c r="K125" s="264">
        <v>99.49</v>
      </c>
      <c r="L125" s="264">
        <v>44.92</v>
      </c>
      <c r="M125" s="264">
        <v>71.02</v>
      </c>
      <c r="N125" s="266">
        <v>82.81</v>
      </c>
      <c r="O125" s="267">
        <v>99.09</v>
      </c>
      <c r="P125" s="267">
        <v>35.15</v>
      </c>
      <c r="Q125" s="268">
        <v>60.95</v>
      </c>
      <c r="R125" s="267">
        <v>82.48</v>
      </c>
      <c r="S125" s="267">
        <v>99.27</v>
      </c>
      <c r="T125" s="267">
        <v>36.83</v>
      </c>
      <c r="U125" s="269">
        <v>63.42</v>
      </c>
      <c r="V125" s="270">
        <v>87.16</v>
      </c>
      <c r="W125" s="270">
        <v>99.4</v>
      </c>
      <c r="X125" s="270">
        <v>41.44</v>
      </c>
      <c r="Y125" s="271">
        <v>67.39</v>
      </c>
      <c r="AA125" s="96"/>
    </row>
    <row r="126" spans="1:27" ht="12.75">
      <c r="A126" s="272" t="s">
        <v>247</v>
      </c>
      <c r="B126" s="273">
        <f t="shared" ref="B126:Y126" si="112">AVERAGE(B121:B125)</f>
        <v>85.962000000000018</v>
      </c>
      <c r="C126" s="273">
        <f t="shared" si="112"/>
        <v>99.686000000000007</v>
      </c>
      <c r="D126" s="273">
        <f t="shared" si="112"/>
        <v>58.179999999999993</v>
      </c>
      <c r="E126" s="273">
        <f t="shared" si="112"/>
        <v>80.61</v>
      </c>
      <c r="F126" s="274">
        <f t="shared" si="112"/>
        <v>80.847999999999999</v>
      </c>
      <c r="G126" s="274">
        <f t="shared" si="112"/>
        <v>99.268000000000001</v>
      </c>
      <c r="H126" s="274">
        <f t="shared" si="112"/>
        <v>40.54</v>
      </c>
      <c r="I126" s="275">
        <f t="shared" si="112"/>
        <v>66.14200000000001</v>
      </c>
      <c r="J126" s="274">
        <f t="shared" si="112"/>
        <v>87.768000000000001</v>
      </c>
      <c r="K126" s="274">
        <f t="shared" si="112"/>
        <v>99.549999999999983</v>
      </c>
      <c r="L126" s="274">
        <f t="shared" si="112"/>
        <v>44.438000000000002</v>
      </c>
      <c r="M126" s="274">
        <f t="shared" si="112"/>
        <v>70.395999999999987</v>
      </c>
      <c r="N126" s="276">
        <f t="shared" si="112"/>
        <v>78.832000000000008</v>
      </c>
      <c r="O126" s="277">
        <f t="shared" si="112"/>
        <v>99.097999999999999</v>
      </c>
      <c r="P126" s="277">
        <f t="shared" si="112"/>
        <v>35.707999999999998</v>
      </c>
      <c r="Q126" s="278">
        <f t="shared" si="112"/>
        <v>61.608000000000004</v>
      </c>
      <c r="R126" s="277">
        <f t="shared" si="112"/>
        <v>85.580000000000013</v>
      </c>
      <c r="S126" s="277">
        <f t="shared" si="112"/>
        <v>99.463999999999984</v>
      </c>
      <c r="T126" s="277">
        <f t="shared" si="112"/>
        <v>38.532000000000004</v>
      </c>
      <c r="U126" s="279">
        <f t="shared" si="112"/>
        <v>64.722000000000008</v>
      </c>
      <c r="V126" s="280">
        <f t="shared" si="112"/>
        <v>85.683999999999997</v>
      </c>
      <c r="W126" s="280">
        <f t="shared" si="112"/>
        <v>99.42</v>
      </c>
      <c r="X126" s="280">
        <f t="shared" si="112"/>
        <v>41.036000000000001</v>
      </c>
      <c r="Y126" s="281">
        <f t="shared" si="112"/>
        <v>66.936000000000007</v>
      </c>
      <c r="AA126" s="96"/>
    </row>
    <row r="127" spans="1:27" ht="12.75">
      <c r="A127" s="282" t="s">
        <v>248</v>
      </c>
      <c r="B127" s="283">
        <f t="shared" ref="B127:Y127" si="113">STDEV(B121:B125)</f>
        <v>3.721286068014658</v>
      </c>
      <c r="C127" s="283">
        <f t="shared" si="113"/>
        <v>9.449867723941914E-2</v>
      </c>
      <c r="D127" s="283">
        <f t="shared" si="113"/>
        <v>7.944109290391274E-15</v>
      </c>
      <c r="E127" s="283">
        <f t="shared" si="113"/>
        <v>0</v>
      </c>
      <c r="F127" s="284">
        <f t="shared" si="113"/>
        <v>5.8928617835479553</v>
      </c>
      <c r="G127" s="284">
        <f t="shared" si="113"/>
        <v>0.25262620608321307</v>
      </c>
      <c r="H127" s="284">
        <f t="shared" si="113"/>
        <v>0.79620977135425719</v>
      </c>
      <c r="I127" s="285">
        <f t="shared" si="113"/>
        <v>0.78177362452310661</v>
      </c>
      <c r="J127" s="284">
        <f t="shared" si="113"/>
        <v>0.95909853508385512</v>
      </c>
      <c r="K127" s="284">
        <f t="shared" si="113"/>
        <v>0.13583077707206351</v>
      </c>
      <c r="L127" s="284">
        <f t="shared" si="113"/>
        <v>0.6278694131744279</v>
      </c>
      <c r="M127" s="284">
        <f t="shared" si="113"/>
        <v>0.65675718496259905</v>
      </c>
      <c r="N127" s="286">
        <f t="shared" si="113"/>
        <v>6.4811357029458954</v>
      </c>
      <c r="O127" s="287">
        <f t="shared" si="113"/>
        <v>0.17711578134091094</v>
      </c>
      <c r="P127" s="287">
        <f t="shared" si="113"/>
        <v>0.54177486098932426</v>
      </c>
      <c r="Q127" s="288">
        <f t="shared" si="113"/>
        <v>0.64390993158981413</v>
      </c>
      <c r="R127" s="287">
        <f t="shared" si="113"/>
        <v>1.9978113024007027</v>
      </c>
      <c r="S127" s="287">
        <f t="shared" si="113"/>
        <v>0.14135062787267613</v>
      </c>
      <c r="T127" s="287">
        <f t="shared" si="113"/>
        <v>2.2733389540497493</v>
      </c>
      <c r="U127" s="289">
        <f t="shared" si="113"/>
        <v>2.1768601241237344</v>
      </c>
      <c r="V127" s="290">
        <f t="shared" si="113"/>
        <v>2.5938928273928354</v>
      </c>
      <c r="W127" s="290">
        <f t="shared" si="113"/>
        <v>0.19196353820452552</v>
      </c>
      <c r="X127" s="290">
        <f t="shared" si="113"/>
        <v>1.283639357452083</v>
      </c>
      <c r="Y127" s="291">
        <f t="shared" si="113"/>
        <v>1.303430090185127</v>
      </c>
      <c r="AA127" s="96"/>
    </row>
    <row r="128" spans="1:27" ht="12.75">
      <c r="A128" s="393" t="s">
        <v>37</v>
      </c>
      <c r="B128" s="314">
        <v>92.56</v>
      </c>
      <c r="C128" s="314">
        <v>99.89</v>
      </c>
      <c r="D128" s="314">
        <v>71.58</v>
      </c>
      <c r="E128" s="314">
        <v>90.39</v>
      </c>
      <c r="F128" s="295">
        <v>92.33</v>
      </c>
      <c r="G128" s="295">
        <v>99.88</v>
      </c>
      <c r="H128" s="295">
        <v>70.77</v>
      </c>
      <c r="I128" s="315">
        <v>89.98</v>
      </c>
      <c r="J128" s="295">
        <v>92.91</v>
      </c>
      <c r="K128" s="295">
        <v>99.82</v>
      </c>
      <c r="L128" s="295">
        <v>64.75</v>
      </c>
      <c r="M128" s="295">
        <v>86.26</v>
      </c>
      <c r="N128" s="316">
        <v>91.91</v>
      </c>
      <c r="O128" s="317">
        <v>99.86</v>
      </c>
      <c r="P128" s="317">
        <v>68.53</v>
      </c>
      <c r="Q128" s="318">
        <v>88.52</v>
      </c>
      <c r="R128" s="317">
        <v>92.27</v>
      </c>
      <c r="S128" s="317">
        <v>99.82</v>
      </c>
      <c r="T128" s="317">
        <v>64.040000000000006</v>
      </c>
      <c r="U128" s="319">
        <v>85.71</v>
      </c>
      <c r="V128" s="320">
        <v>92.74</v>
      </c>
      <c r="W128" s="320">
        <v>99.84</v>
      </c>
      <c r="X128" s="320">
        <v>65.91</v>
      </c>
      <c r="Y128" s="321">
        <v>87.49</v>
      </c>
      <c r="AA128" s="96"/>
    </row>
    <row r="129" spans="1:50" ht="12.75">
      <c r="A129" s="392"/>
      <c r="B129" s="263">
        <v>92.9</v>
      </c>
      <c r="C129" s="263">
        <v>99.85</v>
      </c>
      <c r="D129" s="263">
        <v>71.58</v>
      </c>
      <c r="E129" s="263">
        <v>90.39</v>
      </c>
      <c r="F129" s="264">
        <v>92.52</v>
      </c>
      <c r="G129" s="264">
        <v>99.85</v>
      </c>
      <c r="H129" s="264">
        <v>70.900000000000006</v>
      </c>
      <c r="I129" s="265">
        <v>89.97</v>
      </c>
      <c r="J129" s="264">
        <v>93.26</v>
      </c>
      <c r="K129" s="264">
        <v>99.82</v>
      </c>
      <c r="L129" s="264">
        <v>64.739999999999995</v>
      </c>
      <c r="M129" s="264">
        <v>86.29</v>
      </c>
      <c r="N129" s="266">
        <v>92.08</v>
      </c>
      <c r="O129" s="267">
        <v>99.86</v>
      </c>
      <c r="P129" s="267">
        <v>68.650000000000006</v>
      </c>
      <c r="Q129" s="268">
        <v>88.58</v>
      </c>
      <c r="R129" s="267">
        <v>92.68</v>
      </c>
      <c r="S129" s="267">
        <v>99.83</v>
      </c>
      <c r="T129" s="267">
        <v>64.010000000000005</v>
      </c>
      <c r="U129" s="269">
        <v>85.77</v>
      </c>
      <c r="V129" s="270">
        <v>92.94</v>
      </c>
      <c r="W129" s="270">
        <v>99.86</v>
      </c>
      <c r="X129" s="270">
        <v>65.959999999999994</v>
      </c>
      <c r="Y129" s="271">
        <v>87.41</v>
      </c>
      <c r="AA129" s="96"/>
    </row>
    <row r="130" spans="1:50" ht="12.75">
      <c r="A130" s="392"/>
      <c r="B130" s="263">
        <v>92.82</v>
      </c>
      <c r="C130" s="263">
        <v>99.87</v>
      </c>
      <c r="D130" s="263">
        <v>71.58</v>
      </c>
      <c r="E130" s="263">
        <v>90.39</v>
      </c>
      <c r="F130" s="264">
        <v>92.72</v>
      </c>
      <c r="G130" s="264">
        <v>99.85</v>
      </c>
      <c r="H130" s="264">
        <v>70.89</v>
      </c>
      <c r="I130" s="265">
        <v>89.96</v>
      </c>
      <c r="J130" s="264">
        <v>93.28</v>
      </c>
      <c r="K130" s="264">
        <v>99.89</v>
      </c>
      <c r="L130" s="264">
        <v>64.86</v>
      </c>
      <c r="M130" s="264">
        <v>86.33</v>
      </c>
      <c r="N130" s="266">
        <v>92.03</v>
      </c>
      <c r="O130" s="267">
        <v>99.84</v>
      </c>
      <c r="P130" s="267">
        <v>68.489999999999995</v>
      </c>
      <c r="Q130" s="268">
        <v>88.52</v>
      </c>
      <c r="R130" s="267">
        <v>92.13</v>
      </c>
      <c r="S130" s="267">
        <v>99.89</v>
      </c>
      <c r="T130" s="267">
        <v>64.13</v>
      </c>
      <c r="U130" s="269">
        <v>85.8</v>
      </c>
      <c r="V130" s="270">
        <v>91.87</v>
      </c>
      <c r="W130" s="270">
        <v>99.86</v>
      </c>
      <c r="X130" s="270">
        <v>66.510000000000005</v>
      </c>
      <c r="Y130" s="271">
        <v>87.65</v>
      </c>
      <c r="AA130" s="96"/>
    </row>
    <row r="131" spans="1:50" ht="12.75">
      <c r="A131" s="392"/>
      <c r="B131" s="263">
        <v>91.8</v>
      </c>
      <c r="C131" s="263">
        <v>99.73</v>
      </c>
      <c r="D131" s="263">
        <v>71.58</v>
      </c>
      <c r="E131" s="263">
        <v>90.39</v>
      </c>
      <c r="F131" s="264">
        <v>91.6</v>
      </c>
      <c r="G131" s="264">
        <v>99.72</v>
      </c>
      <c r="H131" s="264">
        <v>70.930000000000007</v>
      </c>
      <c r="I131" s="265">
        <v>89.95</v>
      </c>
      <c r="J131" s="264">
        <v>92.48</v>
      </c>
      <c r="K131" s="264">
        <v>99.74</v>
      </c>
      <c r="L131" s="264">
        <v>64.59</v>
      </c>
      <c r="M131" s="264">
        <v>86.42</v>
      </c>
      <c r="N131" s="266">
        <v>90.26</v>
      </c>
      <c r="O131" s="267">
        <v>99.59</v>
      </c>
      <c r="P131" s="267">
        <v>68.569999999999993</v>
      </c>
      <c r="Q131" s="268">
        <v>88.58</v>
      </c>
      <c r="R131" s="267">
        <v>91.36</v>
      </c>
      <c r="S131" s="267">
        <v>99.7</v>
      </c>
      <c r="T131" s="267">
        <v>64.239999999999995</v>
      </c>
      <c r="U131" s="269">
        <v>86.13</v>
      </c>
      <c r="V131" s="270">
        <v>92.69</v>
      </c>
      <c r="W131" s="270">
        <v>99.79</v>
      </c>
      <c r="X131" s="270">
        <v>66.739999999999995</v>
      </c>
      <c r="Y131" s="271">
        <v>87.64</v>
      </c>
      <c r="AA131" s="96"/>
    </row>
    <row r="132" spans="1:50" ht="12.75">
      <c r="A132" s="392"/>
      <c r="B132" s="302">
        <v>92.66</v>
      </c>
      <c r="C132" s="302">
        <v>99.9</v>
      </c>
      <c r="D132" s="302">
        <v>71.58</v>
      </c>
      <c r="E132" s="302">
        <v>90.39</v>
      </c>
      <c r="F132" s="303">
        <v>92.65</v>
      </c>
      <c r="G132" s="303">
        <v>99.86</v>
      </c>
      <c r="H132" s="303">
        <v>70.900000000000006</v>
      </c>
      <c r="I132" s="304">
        <v>89.98</v>
      </c>
      <c r="J132" s="303">
        <v>93.18</v>
      </c>
      <c r="K132" s="303">
        <v>99.84</v>
      </c>
      <c r="L132" s="303">
        <v>64.86</v>
      </c>
      <c r="M132" s="303">
        <v>86.36</v>
      </c>
      <c r="N132" s="305">
        <v>92.05</v>
      </c>
      <c r="O132" s="306">
        <v>99.86</v>
      </c>
      <c r="P132" s="306">
        <v>68.64</v>
      </c>
      <c r="Q132" s="307">
        <v>88.49</v>
      </c>
      <c r="R132" s="306">
        <v>92.65</v>
      </c>
      <c r="S132" s="306">
        <v>99.79</v>
      </c>
      <c r="T132" s="306">
        <v>64.33</v>
      </c>
      <c r="U132" s="322">
        <v>86.01</v>
      </c>
      <c r="V132" s="308">
        <v>92.85</v>
      </c>
      <c r="W132" s="308">
        <v>99.78</v>
      </c>
      <c r="X132" s="308">
        <v>65.55</v>
      </c>
      <c r="Y132" s="309">
        <v>87.22</v>
      </c>
      <c r="AA132" s="96"/>
    </row>
    <row r="133" spans="1:50" ht="12.75">
      <c r="A133" s="272" t="s">
        <v>247</v>
      </c>
      <c r="B133" s="273">
        <f t="shared" ref="B133:Y133" si="114">AVERAGE(B128:B132)</f>
        <v>92.548000000000002</v>
      </c>
      <c r="C133" s="273">
        <f t="shared" si="114"/>
        <v>99.847999999999999</v>
      </c>
      <c r="D133" s="273">
        <f t="shared" si="114"/>
        <v>71.58</v>
      </c>
      <c r="E133" s="273">
        <f t="shared" si="114"/>
        <v>90.39</v>
      </c>
      <c r="F133" s="274">
        <f t="shared" si="114"/>
        <v>92.36399999999999</v>
      </c>
      <c r="G133" s="274">
        <f t="shared" si="114"/>
        <v>99.831999999999994</v>
      </c>
      <c r="H133" s="274">
        <f t="shared" si="114"/>
        <v>70.878</v>
      </c>
      <c r="I133" s="275">
        <f t="shared" si="114"/>
        <v>89.967999999999989</v>
      </c>
      <c r="J133" s="274">
        <f t="shared" si="114"/>
        <v>93.02200000000002</v>
      </c>
      <c r="K133" s="274">
        <f t="shared" si="114"/>
        <v>99.822000000000003</v>
      </c>
      <c r="L133" s="274">
        <f t="shared" si="114"/>
        <v>64.760000000000019</v>
      </c>
      <c r="M133" s="274">
        <f t="shared" si="114"/>
        <v>86.332000000000008</v>
      </c>
      <c r="N133" s="276">
        <f t="shared" si="114"/>
        <v>91.665999999999997</v>
      </c>
      <c r="O133" s="277">
        <f t="shared" si="114"/>
        <v>99.801999999999992</v>
      </c>
      <c r="P133" s="277">
        <f t="shared" si="114"/>
        <v>68.575999999999993</v>
      </c>
      <c r="Q133" s="278">
        <f t="shared" si="114"/>
        <v>88.537999999999997</v>
      </c>
      <c r="R133" s="277">
        <f t="shared" si="114"/>
        <v>92.218000000000004</v>
      </c>
      <c r="S133" s="277">
        <f t="shared" si="114"/>
        <v>99.805999999999997</v>
      </c>
      <c r="T133" s="277">
        <f t="shared" si="114"/>
        <v>64.150000000000006</v>
      </c>
      <c r="U133" s="279">
        <f t="shared" si="114"/>
        <v>85.883999999999986</v>
      </c>
      <c r="V133" s="280">
        <f t="shared" si="114"/>
        <v>92.618000000000009</v>
      </c>
      <c r="W133" s="280">
        <f t="shared" si="114"/>
        <v>99.825999999999993</v>
      </c>
      <c r="X133" s="280">
        <f t="shared" si="114"/>
        <v>66.134</v>
      </c>
      <c r="Y133" s="281">
        <f t="shared" si="114"/>
        <v>87.481999999999999</v>
      </c>
      <c r="AA133" s="96"/>
    </row>
    <row r="134" spans="1:50" ht="12.75">
      <c r="A134" s="282" t="s">
        <v>248</v>
      </c>
      <c r="B134" s="283">
        <f t="shared" ref="B134:Y134" si="115">STDEV(B128:B132)</f>
        <v>0.43877101089292692</v>
      </c>
      <c r="C134" s="283">
        <f t="shared" si="115"/>
        <v>6.870225614927046E-2</v>
      </c>
      <c r="D134" s="283">
        <f t="shared" si="115"/>
        <v>0</v>
      </c>
      <c r="E134" s="283">
        <f t="shared" si="115"/>
        <v>0</v>
      </c>
      <c r="F134" s="284">
        <f t="shared" si="115"/>
        <v>0.45213935904763092</v>
      </c>
      <c r="G134" s="284">
        <f t="shared" si="115"/>
        <v>6.3796551630945109E-2</v>
      </c>
      <c r="H134" s="284">
        <f t="shared" si="115"/>
        <v>6.2209324059987345E-2</v>
      </c>
      <c r="I134" s="285">
        <f t="shared" si="115"/>
        <v>1.3038404810407063E-2</v>
      </c>
      <c r="J134" s="284">
        <f t="shared" si="115"/>
        <v>0.33707565916274707</v>
      </c>
      <c r="K134" s="284">
        <f t="shared" si="115"/>
        <v>5.4037024344427712E-2</v>
      </c>
      <c r="L134" s="284">
        <f t="shared" si="115"/>
        <v>0.11113055385446301</v>
      </c>
      <c r="M134" s="284">
        <f t="shared" si="115"/>
        <v>6.2209324059981176E-2</v>
      </c>
      <c r="N134" s="286">
        <f t="shared" si="115"/>
        <v>0.78862538635273161</v>
      </c>
      <c r="O134" s="287">
        <f t="shared" si="115"/>
        <v>0.11882760622010212</v>
      </c>
      <c r="P134" s="287">
        <f t="shared" si="115"/>
        <v>6.9137544069777623E-2</v>
      </c>
      <c r="Q134" s="288">
        <f t="shared" si="115"/>
        <v>4.0249223594997739E-2</v>
      </c>
      <c r="R134" s="287">
        <f t="shared" si="115"/>
        <v>0.53541572632861945</v>
      </c>
      <c r="S134" s="287">
        <f t="shared" si="115"/>
        <v>6.9498201415574445E-2</v>
      </c>
      <c r="T134" s="287">
        <f t="shared" si="115"/>
        <v>0.13472193585307093</v>
      </c>
      <c r="U134" s="289">
        <f t="shared" si="115"/>
        <v>0.17798876369029773</v>
      </c>
      <c r="V134" s="290">
        <f t="shared" si="115"/>
        <v>0.42926681679346806</v>
      </c>
      <c r="W134" s="290">
        <f t="shared" si="115"/>
        <v>3.8470768123340944E-2</v>
      </c>
      <c r="X134" s="290">
        <f t="shared" si="115"/>
        <v>0.48221364559705399</v>
      </c>
      <c r="Y134" s="291">
        <f t="shared" si="115"/>
        <v>0.17824140933015753</v>
      </c>
      <c r="AA134" s="96"/>
    </row>
    <row r="135" spans="1:50" ht="12.75">
      <c r="A135" s="393" t="s">
        <v>38</v>
      </c>
      <c r="B135" s="314">
        <v>93.76</v>
      </c>
      <c r="C135" s="314">
        <v>99.92</v>
      </c>
      <c r="D135" s="314">
        <v>73.38</v>
      </c>
      <c r="E135" s="314">
        <v>91.5</v>
      </c>
      <c r="F135" s="295">
        <v>89.23</v>
      </c>
      <c r="G135" s="295">
        <v>99.36</v>
      </c>
      <c r="H135" s="295">
        <v>55.3</v>
      </c>
      <c r="I135" s="315">
        <v>78.69</v>
      </c>
      <c r="J135" s="295">
        <v>90.07</v>
      </c>
      <c r="K135" s="295">
        <v>99.38</v>
      </c>
      <c r="L135" s="295">
        <v>67.400000000000006</v>
      </c>
      <c r="M135" s="295">
        <v>88.13</v>
      </c>
      <c r="N135" s="316">
        <v>87.56</v>
      </c>
      <c r="O135" s="317">
        <v>99.19</v>
      </c>
      <c r="P135" s="317">
        <v>54.26</v>
      </c>
      <c r="Q135" s="318">
        <v>78.040000000000006</v>
      </c>
      <c r="R135" s="317">
        <v>86.55</v>
      </c>
      <c r="S135" s="317">
        <v>98.81</v>
      </c>
      <c r="T135" s="317">
        <v>62.16</v>
      </c>
      <c r="U135" s="319">
        <v>84.59</v>
      </c>
      <c r="V135" s="320">
        <v>91.05</v>
      </c>
      <c r="W135" s="320">
        <v>99.67</v>
      </c>
      <c r="X135" s="320">
        <v>69.19</v>
      </c>
      <c r="Y135" s="321">
        <v>89.36</v>
      </c>
      <c r="AA135" s="96"/>
      <c r="AB135" s="96"/>
      <c r="AC135" s="96"/>
      <c r="AD135" s="96"/>
      <c r="AE135" s="96"/>
      <c r="AF135" s="96"/>
      <c r="AG135" s="96"/>
      <c r="AH135" s="96"/>
      <c r="AI135" s="96"/>
      <c r="AJ135" s="96"/>
      <c r="AK135" s="96"/>
      <c r="AL135" s="96"/>
      <c r="AM135" s="96"/>
      <c r="AN135" s="96"/>
      <c r="AO135" s="96"/>
      <c r="AP135" s="96"/>
      <c r="AQ135" s="96"/>
      <c r="AR135" s="96"/>
      <c r="AS135" s="96"/>
      <c r="AT135" s="96"/>
      <c r="AU135" s="96"/>
      <c r="AV135" s="96"/>
      <c r="AW135" s="96"/>
      <c r="AX135" s="96"/>
    </row>
    <row r="136" spans="1:50" ht="12.75">
      <c r="A136" s="392"/>
      <c r="B136" s="263">
        <v>94.17</v>
      </c>
      <c r="C136" s="263">
        <v>99.89</v>
      </c>
      <c r="D136" s="263">
        <v>73.38</v>
      </c>
      <c r="E136" s="263">
        <v>91.5</v>
      </c>
      <c r="F136" s="264">
        <v>85.9</v>
      </c>
      <c r="G136" s="264">
        <v>99.14</v>
      </c>
      <c r="H136" s="264">
        <v>54.88</v>
      </c>
      <c r="I136" s="265">
        <v>77.95</v>
      </c>
      <c r="J136" s="264">
        <v>89.09</v>
      </c>
      <c r="K136" s="264">
        <v>99.53</v>
      </c>
      <c r="L136" s="264">
        <v>66.27</v>
      </c>
      <c r="M136" s="264">
        <v>87.45</v>
      </c>
      <c r="N136" s="266">
        <v>84.48</v>
      </c>
      <c r="O136" s="267">
        <v>98.73</v>
      </c>
      <c r="P136" s="267">
        <v>53.71</v>
      </c>
      <c r="Q136" s="268">
        <v>77.44</v>
      </c>
      <c r="R136" s="267">
        <v>84.66</v>
      </c>
      <c r="S136" s="267">
        <v>98.4</v>
      </c>
      <c r="T136" s="267">
        <v>62.55</v>
      </c>
      <c r="U136" s="269">
        <v>84.85</v>
      </c>
      <c r="V136" s="270">
        <v>90.58</v>
      </c>
      <c r="W136" s="270">
        <v>99.58</v>
      </c>
      <c r="X136" s="270">
        <v>68.25</v>
      </c>
      <c r="Y136" s="271">
        <v>88.81</v>
      </c>
      <c r="AA136" s="96"/>
      <c r="AB136" s="96"/>
      <c r="AC136" s="96"/>
      <c r="AD136" s="96"/>
      <c r="AE136" s="96"/>
      <c r="AF136" s="96"/>
      <c r="AG136" s="96"/>
      <c r="AH136" s="96"/>
      <c r="AI136" s="96"/>
      <c r="AJ136" s="96"/>
      <c r="AK136" s="96"/>
      <c r="AL136" s="96"/>
      <c r="AM136" s="96"/>
      <c r="AN136" s="96"/>
      <c r="AO136" s="96"/>
      <c r="AP136" s="96"/>
      <c r="AQ136" s="96"/>
      <c r="AR136" s="96"/>
      <c r="AS136" s="96"/>
      <c r="AT136" s="96"/>
      <c r="AU136" s="96"/>
      <c r="AV136" s="96"/>
      <c r="AW136" s="96"/>
      <c r="AX136" s="96"/>
    </row>
    <row r="137" spans="1:50" ht="12.75">
      <c r="A137" s="392"/>
      <c r="B137" s="263">
        <v>93.44</v>
      </c>
      <c r="C137" s="263">
        <v>99.84</v>
      </c>
      <c r="D137" s="263">
        <v>73.38</v>
      </c>
      <c r="E137" s="263">
        <v>91.5</v>
      </c>
      <c r="F137" s="264">
        <v>89.38</v>
      </c>
      <c r="G137" s="264">
        <v>99.64</v>
      </c>
      <c r="H137" s="264">
        <v>50.31</v>
      </c>
      <c r="I137" s="265">
        <v>74.06</v>
      </c>
      <c r="J137" s="264">
        <v>88.52</v>
      </c>
      <c r="K137" s="264">
        <v>99.52</v>
      </c>
      <c r="L137" s="264">
        <v>66.599999999999994</v>
      </c>
      <c r="M137" s="264">
        <v>87.48</v>
      </c>
      <c r="N137" s="266">
        <v>88.13</v>
      </c>
      <c r="O137" s="267">
        <v>99.63</v>
      </c>
      <c r="P137" s="267">
        <v>51.05</v>
      </c>
      <c r="Q137" s="268">
        <v>74.989999999999995</v>
      </c>
      <c r="R137" s="267">
        <v>85.11</v>
      </c>
      <c r="S137" s="267">
        <v>99.21</v>
      </c>
      <c r="T137" s="267">
        <v>61.2</v>
      </c>
      <c r="U137" s="269">
        <v>83.69</v>
      </c>
      <c r="V137" s="270">
        <v>91.22</v>
      </c>
      <c r="W137" s="270">
        <v>99.75</v>
      </c>
      <c r="X137" s="270">
        <v>69.790000000000006</v>
      </c>
      <c r="Y137" s="271">
        <v>89.64</v>
      </c>
      <c r="AA137" s="96"/>
      <c r="AB137" s="96"/>
      <c r="AC137" s="96"/>
      <c r="AD137" s="96"/>
      <c r="AE137" s="96"/>
      <c r="AF137" s="96"/>
      <c r="AG137" s="96"/>
      <c r="AH137" s="96"/>
      <c r="AI137" s="96"/>
      <c r="AJ137" s="96"/>
      <c r="AK137" s="96"/>
      <c r="AL137" s="96"/>
      <c r="AM137" s="96"/>
      <c r="AN137" s="96"/>
      <c r="AO137" s="96"/>
      <c r="AP137" s="96"/>
      <c r="AQ137" s="96"/>
      <c r="AR137" s="96"/>
      <c r="AS137" s="96"/>
      <c r="AT137" s="96"/>
      <c r="AU137" s="96"/>
      <c r="AV137" s="96"/>
      <c r="AW137" s="96"/>
      <c r="AX137" s="96"/>
    </row>
    <row r="138" spans="1:50" ht="12.75">
      <c r="A138" s="392"/>
      <c r="B138" s="263">
        <v>93.84</v>
      </c>
      <c r="C138" s="263">
        <v>99.86</v>
      </c>
      <c r="D138" s="263">
        <v>73.38</v>
      </c>
      <c r="E138" s="263">
        <v>91.5</v>
      </c>
      <c r="F138" s="264">
        <v>90.51</v>
      </c>
      <c r="G138" s="264">
        <v>99.86</v>
      </c>
      <c r="H138" s="264">
        <v>52.92</v>
      </c>
      <c r="I138" s="265">
        <v>76.540000000000006</v>
      </c>
      <c r="J138" s="264">
        <v>89.94</v>
      </c>
      <c r="K138" s="264">
        <v>99.66</v>
      </c>
      <c r="L138" s="264">
        <v>67.05</v>
      </c>
      <c r="M138" s="264">
        <v>87.94</v>
      </c>
      <c r="N138" s="266">
        <v>88.3</v>
      </c>
      <c r="O138" s="267">
        <v>99.63</v>
      </c>
      <c r="P138" s="267">
        <v>52.34</v>
      </c>
      <c r="Q138" s="268">
        <v>76.209999999999994</v>
      </c>
      <c r="R138" s="267">
        <v>85.85</v>
      </c>
      <c r="S138" s="267">
        <v>98.75</v>
      </c>
      <c r="T138" s="267">
        <v>63.63</v>
      </c>
      <c r="U138" s="269">
        <v>85.67</v>
      </c>
      <c r="V138" s="270">
        <v>90.09</v>
      </c>
      <c r="W138" s="270">
        <v>99.69</v>
      </c>
      <c r="X138" s="270">
        <v>69.75</v>
      </c>
      <c r="Y138" s="271">
        <v>89.77</v>
      </c>
      <c r="AA138" s="96"/>
    </row>
    <row r="139" spans="1:50" ht="12.75">
      <c r="A139" s="392"/>
      <c r="B139" s="263">
        <v>93.84</v>
      </c>
      <c r="C139" s="263">
        <v>99.86</v>
      </c>
      <c r="D139" s="263">
        <v>73.38</v>
      </c>
      <c r="E139" s="263">
        <v>91.5</v>
      </c>
      <c r="F139" s="264">
        <v>90.09</v>
      </c>
      <c r="G139" s="264">
        <v>99.75</v>
      </c>
      <c r="H139" s="264">
        <v>54.396000000000001</v>
      </c>
      <c r="I139" s="265">
        <v>77.781999999999996</v>
      </c>
      <c r="J139" s="264">
        <v>89.9</v>
      </c>
      <c r="K139" s="264">
        <v>99.7</v>
      </c>
      <c r="L139" s="264">
        <v>67.857999999999905</v>
      </c>
      <c r="M139" s="264">
        <v>88.397999999999996</v>
      </c>
      <c r="N139" s="266">
        <v>87.27</v>
      </c>
      <c r="O139" s="267">
        <v>99.42</v>
      </c>
      <c r="P139" s="267">
        <v>52.332000000000001</v>
      </c>
      <c r="Q139" s="268">
        <v>76.286000000000001</v>
      </c>
      <c r="R139" s="267">
        <v>82.6</v>
      </c>
      <c r="S139" s="267">
        <v>98.119999999999905</v>
      </c>
      <c r="T139" s="267">
        <v>61.7959999999999</v>
      </c>
      <c r="U139" s="269">
        <v>83.988</v>
      </c>
      <c r="V139" s="270">
        <v>89.41</v>
      </c>
      <c r="W139" s="270">
        <v>99.45</v>
      </c>
      <c r="X139" s="270">
        <v>69.352000000000004</v>
      </c>
      <c r="Y139" s="271">
        <v>89.6</v>
      </c>
      <c r="AA139" s="96"/>
    </row>
    <row r="140" spans="1:50" ht="12.75">
      <c r="A140" s="272" t="s">
        <v>247</v>
      </c>
      <c r="B140" s="273">
        <f t="shared" ref="B140:Y140" si="116">AVERAGE(B135:B139)</f>
        <v>93.810000000000016</v>
      </c>
      <c r="C140" s="273">
        <f t="shared" si="116"/>
        <v>99.873999999999995</v>
      </c>
      <c r="D140" s="273">
        <f t="shared" si="116"/>
        <v>73.38</v>
      </c>
      <c r="E140" s="273">
        <f t="shared" si="116"/>
        <v>91.5</v>
      </c>
      <c r="F140" s="274">
        <f t="shared" si="116"/>
        <v>89.022000000000006</v>
      </c>
      <c r="G140" s="274">
        <f t="shared" si="116"/>
        <v>99.55</v>
      </c>
      <c r="H140" s="274">
        <f t="shared" si="116"/>
        <v>53.561200000000007</v>
      </c>
      <c r="I140" s="275">
        <f t="shared" si="116"/>
        <v>77.004400000000004</v>
      </c>
      <c r="J140" s="274">
        <f t="shared" si="116"/>
        <v>89.503999999999991</v>
      </c>
      <c r="K140" s="274">
        <f t="shared" si="116"/>
        <v>99.558000000000007</v>
      </c>
      <c r="L140" s="274">
        <f t="shared" si="116"/>
        <v>67.035599999999974</v>
      </c>
      <c r="M140" s="274">
        <f t="shared" si="116"/>
        <v>87.879600000000011</v>
      </c>
      <c r="N140" s="276">
        <f t="shared" si="116"/>
        <v>87.147999999999996</v>
      </c>
      <c r="O140" s="277">
        <f t="shared" si="116"/>
        <v>99.320000000000007</v>
      </c>
      <c r="P140" s="277">
        <f t="shared" si="116"/>
        <v>52.738399999999999</v>
      </c>
      <c r="Q140" s="278">
        <f t="shared" si="116"/>
        <v>76.593199999999996</v>
      </c>
      <c r="R140" s="277">
        <f t="shared" si="116"/>
        <v>84.953999999999994</v>
      </c>
      <c r="S140" s="277">
        <f t="shared" si="116"/>
        <v>98.657999999999987</v>
      </c>
      <c r="T140" s="277">
        <f t="shared" si="116"/>
        <v>62.267199999999981</v>
      </c>
      <c r="U140" s="279">
        <f t="shared" si="116"/>
        <v>84.557600000000008</v>
      </c>
      <c r="V140" s="280">
        <f t="shared" si="116"/>
        <v>90.47</v>
      </c>
      <c r="W140" s="280">
        <f t="shared" si="116"/>
        <v>99.628</v>
      </c>
      <c r="X140" s="280">
        <f t="shared" si="116"/>
        <v>69.266400000000004</v>
      </c>
      <c r="Y140" s="281">
        <f t="shared" si="116"/>
        <v>89.435999999999993</v>
      </c>
      <c r="AA140" s="96"/>
    </row>
    <row r="141" spans="1:50" ht="12.75">
      <c r="A141" s="282" t="s">
        <v>248</v>
      </c>
      <c r="B141" s="283">
        <f t="shared" ref="B141:Y141" si="117">STDEV(B135:B139)</f>
        <v>0.26019223662515512</v>
      </c>
      <c r="C141" s="283">
        <f t="shared" si="117"/>
        <v>3.1304951684996953E-2</v>
      </c>
      <c r="D141" s="283">
        <f t="shared" si="117"/>
        <v>0</v>
      </c>
      <c r="E141" s="283">
        <f t="shared" si="117"/>
        <v>0</v>
      </c>
      <c r="F141" s="284">
        <f t="shared" si="117"/>
        <v>1.8216119235446382</v>
      </c>
      <c r="G141" s="284">
        <f t="shared" si="117"/>
        <v>0.29512709126747388</v>
      </c>
      <c r="H141" s="284">
        <f t="shared" si="117"/>
        <v>2.0273744597385051</v>
      </c>
      <c r="I141" s="285">
        <f t="shared" si="117"/>
        <v>1.8183252734315698</v>
      </c>
      <c r="J141" s="284">
        <f t="shared" si="117"/>
        <v>0.67210862217352929</v>
      </c>
      <c r="K141" s="284">
        <f t="shared" si="117"/>
        <v>0.12696456198483297</v>
      </c>
      <c r="L141" s="284">
        <f t="shared" si="117"/>
        <v>0.62952903030755025</v>
      </c>
      <c r="M141" s="284">
        <f t="shared" si="117"/>
        <v>0.41210532634266805</v>
      </c>
      <c r="N141" s="286">
        <f t="shared" si="117"/>
        <v>1.5487317391982354</v>
      </c>
      <c r="O141" s="287">
        <f t="shared" si="117"/>
        <v>0.37656340767525148</v>
      </c>
      <c r="P141" s="287">
        <f t="shared" si="117"/>
        <v>1.2682518677297503</v>
      </c>
      <c r="Q141" s="288">
        <f t="shared" si="117"/>
        <v>1.1855130534920348</v>
      </c>
      <c r="R141" s="287">
        <f t="shared" si="117"/>
        <v>1.5001766562641887</v>
      </c>
      <c r="S141" s="287">
        <f t="shared" si="117"/>
        <v>0.4160168265827997</v>
      </c>
      <c r="T141" s="287">
        <f t="shared" si="117"/>
        <v>0.9096203603702061</v>
      </c>
      <c r="U141" s="289">
        <f t="shared" si="117"/>
        <v>0.77478306641278716</v>
      </c>
      <c r="V141" s="290">
        <f t="shared" si="117"/>
        <v>0.73807181222425766</v>
      </c>
      <c r="W141" s="290">
        <f t="shared" si="117"/>
        <v>0.11670475568716021</v>
      </c>
      <c r="X141" s="290">
        <f t="shared" si="117"/>
        <v>0.62334966110522738</v>
      </c>
      <c r="Y141" s="291">
        <f t="shared" si="117"/>
        <v>0.38003947163419516</v>
      </c>
      <c r="AA141" s="96"/>
    </row>
    <row r="142" spans="1:50" ht="12.75">
      <c r="A142" s="393" t="s">
        <v>87</v>
      </c>
      <c r="B142" s="399"/>
      <c r="C142" s="342"/>
      <c r="D142" s="314">
        <v>81.430000000000007</v>
      </c>
      <c r="E142" s="314">
        <v>96.01</v>
      </c>
      <c r="F142" s="403"/>
      <c r="G142" s="342"/>
      <c r="H142" s="295">
        <v>81.430000000000007</v>
      </c>
      <c r="I142" s="315">
        <v>96</v>
      </c>
      <c r="J142" s="403"/>
      <c r="K142" s="342"/>
      <c r="L142" s="342"/>
      <c r="M142" s="342"/>
      <c r="N142" s="403"/>
      <c r="O142" s="342"/>
      <c r="P142" s="317">
        <v>81.239999999999995</v>
      </c>
      <c r="Q142" s="318">
        <v>95.89</v>
      </c>
      <c r="R142" s="409"/>
      <c r="S142" s="342"/>
      <c r="T142" s="342"/>
      <c r="U142" s="343"/>
      <c r="V142" s="403"/>
      <c r="W142" s="342"/>
      <c r="X142" s="342"/>
      <c r="Y142" s="404"/>
      <c r="AA142" s="96"/>
    </row>
    <row r="143" spans="1:50" ht="12.75">
      <c r="A143" s="392"/>
      <c r="B143" s="395"/>
      <c r="C143" s="342"/>
      <c r="D143" s="263">
        <v>81.430000000000007</v>
      </c>
      <c r="E143" s="263">
        <v>96.01</v>
      </c>
      <c r="F143" s="395"/>
      <c r="G143" s="342"/>
      <c r="H143" s="264">
        <v>81.42</v>
      </c>
      <c r="I143" s="265">
        <v>96.03</v>
      </c>
      <c r="J143" s="395"/>
      <c r="K143" s="342"/>
      <c r="L143" s="342"/>
      <c r="M143" s="342"/>
      <c r="N143" s="395"/>
      <c r="O143" s="342"/>
      <c r="P143" s="267">
        <v>81.28</v>
      </c>
      <c r="Q143" s="268">
        <v>95.88</v>
      </c>
      <c r="R143" s="342"/>
      <c r="S143" s="342"/>
      <c r="T143" s="342"/>
      <c r="U143" s="343"/>
      <c r="V143" s="395"/>
      <c r="W143" s="342"/>
      <c r="X143" s="342"/>
      <c r="Y143" s="404"/>
      <c r="AA143" s="96"/>
    </row>
    <row r="144" spans="1:50" ht="12.75">
      <c r="A144" s="392"/>
      <c r="B144" s="395"/>
      <c r="C144" s="342"/>
      <c r="D144" s="263">
        <v>81.430000000000007</v>
      </c>
      <c r="E144" s="263">
        <v>96.01</v>
      </c>
      <c r="F144" s="395"/>
      <c r="G144" s="342"/>
      <c r="H144" s="264">
        <v>81.459999999999994</v>
      </c>
      <c r="I144" s="265">
        <v>96.02</v>
      </c>
      <c r="J144" s="395"/>
      <c r="K144" s="342"/>
      <c r="L144" s="342"/>
      <c r="M144" s="342"/>
      <c r="N144" s="395"/>
      <c r="O144" s="342"/>
      <c r="P144" s="267">
        <v>81.25</v>
      </c>
      <c r="Q144" s="268">
        <v>95.89</v>
      </c>
      <c r="R144" s="342"/>
      <c r="S144" s="342"/>
      <c r="T144" s="342"/>
      <c r="U144" s="343"/>
      <c r="V144" s="395"/>
      <c r="W144" s="342"/>
      <c r="X144" s="342"/>
      <c r="Y144" s="404"/>
      <c r="AA144" s="96"/>
    </row>
    <row r="145" spans="1:27" ht="12.75">
      <c r="A145" s="392"/>
      <c r="B145" s="395"/>
      <c r="C145" s="342"/>
      <c r="D145" s="263">
        <v>81.430000000000007</v>
      </c>
      <c r="E145" s="263">
        <v>96.01</v>
      </c>
      <c r="F145" s="395"/>
      <c r="G145" s="342"/>
      <c r="H145" s="264">
        <v>81.459999999999994</v>
      </c>
      <c r="I145" s="265">
        <v>96</v>
      </c>
      <c r="J145" s="395"/>
      <c r="K145" s="342"/>
      <c r="L145" s="342"/>
      <c r="M145" s="342"/>
      <c r="N145" s="395"/>
      <c r="O145" s="342"/>
      <c r="P145" s="267">
        <v>81.290000000000006</v>
      </c>
      <c r="Q145" s="268">
        <v>95.87</v>
      </c>
      <c r="R145" s="342"/>
      <c r="S145" s="342"/>
      <c r="T145" s="342"/>
      <c r="U145" s="343"/>
      <c r="V145" s="395"/>
      <c r="W145" s="342"/>
      <c r="X145" s="342"/>
      <c r="Y145" s="404"/>
      <c r="AA145" s="96"/>
    </row>
    <row r="146" spans="1:27" ht="12.75">
      <c r="A146" s="392"/>
      <c r="B146" s="339"/>
      <c r="C146" s="335"/>
      <c r="D146" s="263">
        <v>81.430000000000007</v>
      </c>
      <c r="E146" s="263">
        <v>96.01</v>
      </c>
      <c r="F146" s="339"/>
      <c r="G146" s="335"/>
      <c r="H146" s="264">
        <v>81.44</v>
      </c>
      <c r="I146" s="265">
        <v>95.99</v>
      </c>
      <c r="J146" s="339"/>
      <c r="K146" s="335"/>
      <c r="L146" s="335"/>
      <c r="M146" s="335"/>
      <c r="N146" s="339"/>
      <c r="O146" s="335"/>
      <c r="P146" s="267">
        <v>81.239999999999995</v>
      </c>
      <c r="Q146" s="268">
        <v>95.87</v>
      </c>
      <c r="R146" s="335"/>
      <c r="S146" s="335"/>
      <c r="T146" s="335"/>
      <c r="U146" s="336"/>
      <c r="V146" s="339"/>
      <c r="W146" s="335"/>
      <c r="X146" s="335"/>
      <c r="Y146" s="389"/>
      <c r="AA146" s="96"/>
    </row>
    <row r="147" spans="1:27" ht="12.75">
      <c r="A147" s="272" t="s">
        <v>247</v>
      </c>
      <c r="B147" s="396"/>
      <c r="C147" s="333"/>
      <c r="D147" s="273">
        <f t="shared" ref="D147:E147" si="118">AVERAGE(D142:D146)</f>
        <v>81.430000000000007</v>
      </c>
      <c r="E147" s="273">
        <f t="shared" si="118"/>
        <v>96.01</v>
      </c>
      <c r="F147" s="400"/>
      <c r="G147" s="333"/>
      <c r="H147" s="274">
        <f t="shared" ref="H147:I147" si="119">AVERAGE(H142:H146)</f>
        <v>81.441999999999993</v>
      </c>
      <c r="I147" s="275">
        <f t="shared" si="119"/>
        <v>96.00800000000001</v>
      </c>
      <c r="J147" s="400"/>
      <c r="K147" s="333"/>
      <c r="L147" s="333"/>
      <c r="M147" s="333"/>
      <c r="N147" s="400"/>
      <c r="O147" s="333"/>
      <c r="P147" s="277">
        <f t="shared" ref="P147:Q147" si="120">AVERAGE(P142:P146)</f>
        <v>81.260000000000005</v>
      </c>
      <c r="Q147" s="278">
        <f t="shared" si="120"/>
        <v>95.88</v>
      </c>
      <c r="R147" s="407"/>
      <c r="S147" s="333"/>
      <c r="T147" s="333"/>
      <c r="U147" s="334"/>
      <c r="V147" s="400"/>
      <c r="W147" s="333"/>
      <c r="X147" s="333"/>
      <c r="Y147" s="401"/>
      <c r="AA147" s="96"/>
    </row>
    <row r="148" spans="1:27" ht="12.75">
      <c r="A148" s="282" t="s">
        <v>248</v>
      </c>
      <c r="B148" s="397"/>
      <c r="C148" s="398"/>
      <c r="D148" s="283">
        <f t="shared" ref="D148:E148" si="121">STDEV(D142:D146)</f>
        <v>0</v>
      </c>
      <c r="E148" s="283">
        <f t="shared" si="121"/>
        <v>0</v>
      </c>
      <c r="F148" s="397"/>
      <c r="G148" s="398"/>
      <c r="H148" s="284">
        <f t="shared" ref="H148:I148" si="122">STDEV(H142:H146)</f>
        <v>1.7888543819993569E-2</v>
      </c>
      <c r="I148" s="285">
        <f t="shared" si="122"/>
        <v>1.6431676725156039E-2</v>
      </c>
      <c r="J148" s="397"/>
      <c r="K148" s="398"/>
      <c r="L148" s="398"/>
      <c r="M148" s="398"/>
      <c r="N148" s="397"/>
      <c r="O148" s="398"/>
      <c r="P148" s="287">
        <f t="shared" ref="P148:Q148" si="123">STDEV(P142:P146)</f>
        <v>2.3452078799121569E-2</v>
      </c>
      <c r="Q148" s="288">
        <f t="shared" si="123"/>
        <v>9.9999999999980105E-3</v>
      </c>
      <c r="R148" s="398"/>
      <c r="S148" s="398"/>
      <c r="T148" s="398"/>
      <c r="U148" s="408"/>
      <c r="V148" s="397"/>
      <c r="W148" s="398"/>
      <c r="X148" s="398"/>
      <c r="Y148" s="402"/>
      <c r="AA148" s="96"/>
    </row>
    <row r="149" spans="1:27" ht="12.75">
      <c r="A149" s="111"/>
      <c r="B149" s="405" t="s">
        <v>15</v>
      </c>
      <c r="C149" s="333"/>
      <c r="D149" s="405"/>
      <c r="E149" s="334"/>
      <c r="F149" s="405" t="s">
        <v>15</v>
      </c>
      <c r="G149" s="333"/>
      <c r="H149" s="405"/>
      <c r="I149" s="334"/>
      <c r="J149" s="405" t="s">
        <v>15</v>
      </c>
      <c r="K149" s="333"/>
      <c r="L149" s="405"/>
      <c r="M149" s="334"/>
      <c r="N149" s="405" t="s">
        <v>15</v>
      </c>
      <c r="O149" s="333"/>
      <c r="P149" s="405"/>
      <c r="Q149" s="334"/>
      <c r="R149" s="405" t="s">
        <v>15</v>
      </c>
      <c r="S149" s="333"/>
      <c r="T149" s="405"/>
      <c r="U149" s="334"/>
      <c r="V149" s="405" t="s">
        <v>15</v>
      </c>
      <c r="W149" s="333"/>
      <c r="X149" s="405"/>
      <c r="Y149" s="401"/>
      <c r="AA149" s="96"/>
    </row>
    <row r="150" spans="1:27" ht="12.75">
      <c r="A150" s="111"/>
      <c r="B150" s="323" t="s">
        <v>16</v>
      </c>
      <c r="C150" s="323" t="s">
        <v>17</v>
      </c>
      <c r="D150" s="339"/>
      <c r="E150" s="336"/>
      <c r="F150" s="323" t="s">
        <v>16</v>
      </c>
      <c r="G150" s="323" t="s">
        <v>17</v>
      </c>
      <c r="H150" s="339"/>
      <c r="I150" s="336"/>
      <c r="J150" s="323" t="s">
        <v>16</v>
      </c>
      <c r="K150" s="323" t="s">
        <v>17</v>
      </c>
      <c r="L150" s="339"/>
      <c r="M150" s="336"/>
      <c r="N150" s="323" t="s">
        <v>16</v>
      </c>
      <c r="O150" s="323" t="s">
        <v>17</v>
      </c>
      <c r="P150" s="339"/>
      <c r="Q150" s="336"/>
      <c r="R150" s="323" t="s">
        <v>16</v>
      </c>
      <c r="S150" s="323" t="s">
        <v>17</v>
      </c>
      <c r="T150" s="339"/>
      <c r="U150" s="336"/>
      <c r="V150" s="323" t="s">
        <v>16</v>
      </c>
      <c r="W150" s="323" t="s">
        <v>17</v>
      </c>
      <c r="X150" s="339"/>
      <c r="Y150" s="389"/>
      <c r="AA150" s="96"/>
    </row>
    <row r="151" spans="1:27" ht="12.75">
      <c r="A151" s="391" t="s">
        <v>254</v>
      </c>
      <c r="B151" s="263">
        <v>97</v>
      </c>
      <c r="C151" s="263">
        <v>99.98</v>
      </c>
      <c r="D151" s="394"/>
      <c r="E151" s="333"/>
      <c r="F151" s="264">
        <v>96.91</v>
      </c>
      <c r="G151" s="264">
        <v>99.97</v>
      </c>
      <c r="H151" s="406"/>
      <c r="I151" s="401"/>
      <c r="J151" s="264">
        <v>96.13</v>
      </c>
      <c r="K151" s="264">
        <v>99.96</v>
      </c>
      <c r="L151" s="406"/>
      <c r="M151" s="333"/>
      <c r="N151" s="266">
        <v>96.81</v>
      </c>
      <c r="O151" s="267">
        <v>99.97</v>
      </c>
      <c r="P151" s="410"/>
      <c r="Q151" s="401"/>
      <c r="R151" s="267">
        <v>96.18</v>
      </c>
      <c r="S151" s="267">
        <v>99.92</v>
      </c>
      <c r="T151" s="410"/>
      <c r="U151" s="334"/>
      <c r="V151" s="270">
        <v>96.95</v>
      </c>
      <c r="W151" s="270">
        <v>99.96</v>
      </c>
      <c r="X151" s="406"/>
      <c r="Y151" s="401"/>
      <c r="AA151" s="96"/>
    </row>
    <row r="152" spans="1:27" ht="12.75">
      <c r="A152" s="392"/>
      <c r="B152" s="263">
        <v>96.81</v>
      </c>
      <c r="C152" s="263">
        <v>99.96</v>
      </c>
      <c r="D152" s="395"/>
      <c r="E152" s="342"/>
      <c r="F152" s="264">
        <v>96.79</v>
      </c>
      <c r="G152" s="264">
        <v>99.95</v>
      </c>
      <c r="H152" s="395"/>
      <c r="I152" s="404"/>
      <c r="J152" s="264">
        <v>96.05</v>
      </c>
      <c r="K152" s="264">
        <v>99.94</v>
      </c>
      <c r="L152" s="395"/>
      <c r="M152" s="342"/>
      <c r="N152" s="266">
        <v>96.88</v>
      </c>
      <c r="O152" s="267">
        <v>99.97</v>
      </c>
      <c r="P152" s="342"/>
      <c r="Q152" s="404"/>
      <c r="R152" s="267">
        <v>95.55</v>
      </c>
      <c r="S152" s="267">
        <v>99.94</v>
      </c>
      <c r="T152" s="342"/>
      <c r="U152" s="343"/>
      <c r="V152" s="270">
        <v>96.79</v>
      </c>
      <c r="W152" s="270">
        <v>99.98</v>
      </c>
      <c r="X152" s="395"/>
      <c r="Y152" s="404"/>
      <c r="AA152" s="96"/>
    </row>
    <row r="153" spans="1:27" ht="12.75">
      <c r="A153" s="392"/>
      <c r="B153" s="263">
        <v>97.07</v>
      </c>
      <c r="C153" s="263">
        <v>99.97</v>
      </c>
      <c r="D153" s="395"/>
      <c r="E153" s="342"/>
      <c r="F153" s="264">
        <v>97.01</v>
      </c>
      <c r="G153" s="264">
        <v>99.98</v>
      </c>
      <c r="H153" s="395"/>
      <c r="I153" s="404"/>
      <c r="J153" s="264">
        <v>96.36</v>
      </c>
      <c r="K153" s="264">
        <v>99.98</v>
      </c>
      <c r="L153" s="395"/>
      <c r="M153" s="342"/>
      <c r="N153" s="266">
        <v>96.97</v>
      </c>
      <c r="O153" s="267">
        <v>99.96</v>
      </c>
      <c r="P153" s="342"/>
      <c r="Q153" s="404"/>
      <c r="R153" s="267">
        <v>96.25</v>
      </c>
      <c r="S153" s="267">
        <v>99.99</v>
      </c>
      <c r="T153" s="342"/>
      <c r="U153" s="343"/>
      <c r="V153" s="270">
        <v>97.15</v>
      </c>
      <c r="W153" s="270">
        <v>99.96</v>
      </c>
      <c r="X153" s="395"/>
      <c r="Y153" s="404"/>
      <c r="AA153" s="96"/>
    </row>
    <row r="154" spans="1:27" ht="12.75">
      <c r="A154" s="392"/>
      <c r="B154" s="263">
        <v>97.03</v>
      </c>
      <c r="C154" s="263">
        <v>99.95</v>
      </c>
      <c r="D154" s="395"/>
      <c r="E154" s="342"/>
      <c r="F154" s="264">
        <v>96.88</v>
      </c>
      <c r="G154" s="264">
        <v>99.95</v>
      </c>
      <c r="H154" s="395"/>
      <c r="I154" s="404"/>
      <c r="J154" s="264">
        <v>96.38</v>
      </c>
      <c r="K154" s="264">
        <v>99.97</v>
      </c>
      <c r="L154" s="395"/>
      <c r="M154" s="342"/>
      <c r="N154" s="266">
        <v>96.76</v>
      </c>
      <c r="O154" s="267">
        <v>99.94</v>
      </c>
      <c r="P154" s="342"/>
      <c r="Q154" s="404"/>
      <c r="R154" s="267">
        <v>96.18</v>
      </c>
      <c r="S154" s="267">
        <v>99.96</v>
      </c>
      <c r="T154" s="342"/>
      <c r="U154" s="343"/>
      <c r="V154" s="270">
        <v>96.99</v>
      </c>
      <c r="W154" s="270">
        <v>99.95</v>
      </c>
      <c r="X154" s="395"/>
      <c r="Y154" s="404"/>
      <c r="AA154" s="96"/>
    </row>
    <row r="155" spans="1:27" ht="12.75">
      <c r="A155" s="392"/>
      <c r="B155" s="263">
        <v>97.08</v>
      </c>
      <c r="C155" s="263">
        <v>99.96</v>
      </c>
      <c r="D155" s="339"/>
      <c r="E155" s="335"/>
      <c r="F155" s="264">
        <v>97.06</v>
      </c>
      <c r="G155" s="264">
        <v>99.97</v>
      </c>
      <c r="H155" s="339"/>
      <c r="I155" s="389"/>
      <c r="J155" s="264">
        <v>96.36</v>
      </c>
      <c r="K155" s="264">
        <v>99.99</v>
      </c>
      <c r="L155" s="339"/>
      <c r="M155" s="335"/>
      <c r="N155" s="266">
        <v>96.98</v>
      </c>
      <c r="O155" s="267">
        <v>99.95</v>
      </c>
      <c r="P155" s="335"/>
      <c r="Q155" s="389"/>
      <c r="R155" s="267">
        <v>96.42</v>
      </c>
      <c r="S155" s="267">
        <v>99.98</v>
      </c>
      <c r="T155" s="335"/>
      <c r="U155" s="336"/>
      <c r="V155" s="270">
        <v>96.82</v>
      </c>
      <c r="W155" s="270">
        <v>99.96</v>
      </c>
      <c r="X155" s="339"/>
      <c r="Y155" s="389"/>
      <c r="AA155" s="96"/>
    </row>
    <row r="156" spans="1:27" ht="12.75">
      <c r="A156" s="272" t="s">
        <v>247</v>
      </c>
      <c r="B156" s="273">
        <f t="shared" ref="B156:C156" si="124">AVERAGE(B151:B155)</f>
        <v>96.99799999999999</v>
      </c>
      <c r="C156" s="273">
        <f t="shared" si="124"/>
        <v>99.963999999999984</v>
      </c>
      <c r="D156" s="396"/>
      <c r="E156" s="333"/>
      <c r="F156" s="274">
        <f t="shared" ref="F156:G156" si="125">AVERAGE(F151:F155)</f>
        <v>96.929999999999993</v>
      </c>
      <c r="G156" s="274">
        <f t="shared" si="125"/>
        <v>99.964000000000013</v>
      </c>
      <c r="H156" s="400"/>
      <c r="I156" s="401"/>
      <c r="J156" s="274">
        <f t="shared" ref="J156:K156" si="126">AVERAGE(J151:J155)</f>
        <v>96.256</v>
      </c>
      <c r="K156" s="274">
        <f t="shared" si="126"/>
        <v>99.968000000000004</v>
      </c>
      <c r="L156" s="400"/>
      <c r="M156" s="333"/>
      <c r="N156" s="276">
        <f t="shared" ref="N156:O156" si="127">AVERAGE(N151:N155)</f>
        <v>96.88</v>
      </c>
      <c r="O156" s="277">
        <f t="shared" si="127"/>
        <v>99.957999999999998</v>
      </c>
      <c r="P156" s="407"/>
      <c r="Q156" s="401"/>
      <c r="R156" s="277">
        <f t="shared" ref="R156:S156" si="128">AVERAGE(R151:R155)</f>
        <v>96.116000000000014</v>
      </c>
      <c r="S156" s="277">
        <f t="shared" si="128"/>
        <v>99.957999999999998</v>
      </c>
      <c r="T156" s="407"/>
      <c r="U156" s="334"/>
      <c r="V156" s="280">
        <f t="shared" ref="V156:W156" si="129">AVERAGE(V151:V155)</f>
        <v>96.94</v>
      </c>
      <c r="W156" s="280">
        <f t="shared" si="129"/>
        <v>99.961999999999989</v>
      </c>
      <c r="X156" s="400"/>
      <c r="Y156" s="401"/>
      <c r="AA156" s="96"/>
    </row>
    <row r="157" spans="1:27" ht="12.75">
      <c r="A157" s="282" t="s">
        <v>248</v>
      </c>
      <c r="B157" s="283">
        <f t="shared" ref="B157:C157" si="130">STDEV(B151:B155)</f>
        <v>0.10986355173577582</v>
      </c>
      <c r="C157" s="283">
        <f t="shared" si="130"/>
        <v>1.1401754250992852E-2</v>
      </c>
      <c r="D157" s="397"/>
      <c r="E157" s="398"/>
      <c r="F157" s="284">
        <f t="shared" ref="F157:G157" si="131">STDEV(F151:F155)</f>
        <v>0.10700467279516378</v>
      </c>
      <c r="G157" s="284">
        <f t="shared" si="131"/>
        <v>1.3416407864998188E-2</v>
      </c>
      <c r="H157" s="397"/>
      <c r="I157" s="402"/>
      <c r="J157" s="284">
        <f t="shared" ref="J157:K157" si="132">STDEV(J151:J155)</f>
        <v>0.15436968614336249</v>
      </c>
      <c r="K157" s="284">
        <f t="shared" si="132"/>
        <v>1.923538406167195E-2</v>
      </c>
      <c r="L157" s="397"/>
      <c r="M157" s="398"/>
      <c r="N157" s="286">
        <f t="shared" ref="N157:O157" si="133">STDEV(N151:N155)</f>
        <v>9.6695398029067348E-2</v>
      </c>
      <c r="O157" s="287">
        <f t="shared" si="133"/>
        <v>1.3038404810404884E-2</v>
      </c>
      <c r="P157" s="398"/>
      <c r="Q157" s="402"/>
      <c r="R157" s="287">
        <f t="shared" ref="R157:S157" si="134">STDEV(R151:R155)</f>
        <v>0.33125518863861064</v>
      </c>
      <c r="S157" s="287">
        <f t="shared" si="134"/>
        <v>2.8635642126551723E-2</v>
      </c>
      <c r="T157" s="398"/>
      <c r="U157" s="408"/>
      <c r="V157" s="290">
        <f t="shared" ref="V157:W157" si="135">STDEV(V151:V155)</f>
        <v>0.14456832294801109</v>
      </c>
      <c r="W157" s="290">
        <f t="shared" si="135"/>
        <v>1.0954451150105035E-2</v>
      </c>
      <c r="X157" s="397"/>
      <c r="Y157" s="402"/>
      <c r="AA157" s="96"/>
    </row>
    <row r="158" spans="1:27" ht="12.75">
      <c r="A158" s="393" t="s">
        <v>255</v>
      </c>
      <c r="B158" s="314">
        <v>93.42</v>
      </c>
      <c r="C158" s="314">
        <v>99.66</v>
      </c>
      <c r="D158" s="399"/>
      <c r="E158" s="342"/>
      <c r="F158" s="295">
        <v>93.4</v>
      </c>
      <c r="G158" s="295">
        <v>99.65</v>
      </c>
      <c r="H158" s="403"/>
      <c r="I158" s="404"/>
      <c r="J158" s="295">
        <v>93</v>
      </c>
      <c r="K158" s="295">
        <v>99.62</v>
      </c>
      <c r="L158" s="403"/>
      <c r="M158" s="342"/>
      <c r="N158" s="316">
        <v>92.51</v>
      </c>
      <c r="O158" s="317">
        <v>99.63</v>
      </c>
      <c r="P158" s="409"/>
      <c r="Q158" s="404"/>
      <c r="R158" s="317">
        <v>92.97</v>
      </c>
      <c r="S158" s="317">
        <v>99.59</v>
      </c>
      <c r="T158" s="409"/>
      <c r="U158" s="343"/>
      <c r="V158" s="320">
        <v>91.29</v>
      </c>
      <c r="W158" s="320">
        <v>99.44</v>
      </c>
      <c r="X158" s="403"/>
      <c r="Y158" s="404"/>
      <c r="AA158" s="96"/>
    </row>
    <row r="159" spans="1:27" ht="12.75">
      <c r="A159" s="392"/>
      <c r="B159" s="263">
        <v>93.95</v>
      </c>
      <c r="C159" s="263">
        <v>99.72</v>
      </c>
      <c r="D159" s="395"/>
      <c r="E159" s="342"/>
      <c r="F159" s="264">
        <v>93.87</v>
      </c>
      <c r="G159" s="264">
        <v>99.7</v>
      </c>
      <c r="H159" s="395"/>
      <c r="I159" s="404"/>
      <c r="J159" s="264">
        <v>92.64</v>
      </c>
      <c r="K159" s="264">
        <v>99.66</v>
      </c>
      <c r="L159" s="395"/>
      <c r="M159" s="342"/>
      <c r="N159" s="266">
        <v>93.59</v>
      </c>
      <c r="O159" s="267">
        <v>99.68</v>
      </c>
      <c r="P159" s="342"/>
      <c r="Q159" s="404"/>
      <c r="R159" s="267">
        <v>92.59</v>
      </c>
      <c r="S159" s="267">
        <v>99.59</v>
      </c>
      <c r="T159" s="342"/>
      <c r="U159" s="343"/>
      <c r="V159" s="270">
        <v>91.61</v>
      </c>
      <c r="W159" s="270">
        <v>99.48</v>
      </c>
      <c r="X159" s="395"/>
      <c r="Y159" s="404"/>
      <c r="AA159" s="96"/>
    </row>
    <row r="160" spans="1:27" ht="12.75">
      <c r="A160" s="392"/>
      <c r="B160" s="263">
        <v>93.96</v>
      </c>
      <c r="C160" s="263">
        <v>99.68</v>
      </c>
      <c r="D160" s="395"/>
      <c r="E160" s="342"/>
      <c r="F160" s="264">
        <v>93.95</v>
      </c>
      <c r="G160" s="264">
        <v>99.67</v>
      </c>
      <c r="H160" s="395"/>
      <c r="I160" s="404"/>
      <c r="J160" s="264">
        <v>92.22</v>
      </c>
      <c r="K160" s="264">
        <v>99.59</v>
      </c>
      <c r="L160" s="395"/>
      <c r="M160" s="342"/>
      <c r="N160" s="266">
        <v>93.46</v>
      </c>
      <c r="O160" s="267">
        <v>99.62</v>
      </c>
      <c r="P160" s="342"/>
      <c r="Q160" s="404"/>
      <c r="R160" s="267">
        <v>92.34</v>
      </c>
      <c r="S160" s="267">
        <v>99.63</v>
      </c>
      <c r="T160" s="342"/>
      <c r="U160" s="343"/>
      <c r="V160" s="270">
        <v>91.31</v>
      </c>
      <c r="W160" s="270">
        <v>99.39</v>
      </c>
      <c r="X160" s="395"/>
      <c r="Y160" s="404"/>
      <c r="AA160" s="96"/>
    </row>
    <row r="161" spans="1:27" ht="12.75">
      <c r="A161" s="392"/>
      <c r="B161" s="263">
        <v>93.49</v>
      </c>
      <c r="C161" s="263">
        <v>99.73</v>
      </c>
      <c r="D161" s="395"/>
      <c r="E161" s="342"/>
      <c r="F161" s="264">
        <v>93.43</v>
      </c>
      <c r="G161" s="264">
        <v>99.68</v>
      </c>
      <c r="H161" s="395"/>
      <c r="I161" s="404"/>
      <c r="J161" s="264">
        <v>92.81</v>
      </c>
      <c r="K161" s="264">
        <v>99.65</v>
      </c>
      <c r="L161" s="395"/>
      <c r="M161" s="342"/>
      <c r="N161" s="266">
        <v>92.94</v>
      </c>
      <c r="O161" s="267">
        <v>99.64</v>
      </c>
      <c r="P161" s="342"/>
      <c r="Q161" s="404"/>
      <c r="R161" s="267">
        <v>92.75</v>
      </c>
      <c r="S161" s="267">
        <v>99.62</v>
      </c>
      <c r="T161" s="342"/>
      <c r="U161" s="343"/>
      <c r="V161" s="270">
        <v>91.31</v>
      </c>
      <c r="W161" s="270">
        <v>99.47</v>
      </c>
      <c r="X161" s="395"/>
      <c r="Y161" s="404"/>
      <c r="AA161" s="96"/>
    </row>
    <row r="162" spans="1:27" ht="12.75">
      <c r="A162" s="392"/>
      <c r="B162" s="263">
        <v>93.82</v>
      </c>
      <c r="C162" s="263">
        <v>99.69</v>
      </c>
      <c r="D162" s="339"/>
      <c r="E162" s="335"/>
      <c r="F162" s="264">
        <v>93.81</v>
      </c>
      <c r="G162" s="264">
        <v>99.64</v>
      </c>
      <c r="H162" s="339"/>
      <c r="I162" s="389"/>
      <c r="J162" s="264">
        <v>92.42</v>
      </c>
      <c r="K162" s="264">
        <v>99.56</v>
      </c>
      <c r="L162" s="339"/>
      <c r="M162" s="335"/>
      <c r="N162" s="266">
        <v>93.13</v>
      </c>
      <c r="O162" s="267">
        <v>99.66</v>
      </c>
      <c r="P162" s="335"/>
      <c r="Q162" s="389"/>
      <c r="R162" s="267">
        <v>91.79</v>
      </c>
      <c r="S162" s="267">
        <v>99.5</v>
      </c>
      <c r="T162" s="335"/>
      <c r="U162" s="336"/>
      <c r="V162" s="270">
        <v>91.37</v>
      </c>
      <c r="W162" s="270">
        <v>99.31</v>
      </c>
      <c r="X162" s="339"/>
      <c r="Y162" s="389"/>
      <c r="AA162" s="96"/>
    </row>
    <row r="163" spans="1:27" ht="12.75">
      <c r="A163" s="272" t="s">
        <v>247</v>
      </c>
      <c r="B163" s="273">
        <f t="shared" ref="B163:C163" si="136">AVERAGE(B158:B162)</f>
        <v>93.727999999999994</v>
      </c>
      <c r="C163" s="273">
        <f t="shared" si="136"/>
        <v>99.695999999999998</v>
      </c>
      <c r="D163" s="396"/>
      <c r="E163" s="333"/>
      <c r="F163" s="274">
        <f t="shared" ref="F163:G163" si="137">AVERAGE(F158:F162)</f>
        <v>93.692000000000007</v>
      </c>
      <c r="G163" s="274">
        <f t="shared" si="137"/>
        <v>99.668000000000006</v>
      </c>
      <c r="H163" s="400"/>
      <c r="I163" s="401"/>
      <c r="J163" s="274">
        <f t="shared" ref="J163:K163" si="138">AVERAGE(J158:J162)</f>
        <v>92.618000000000009</v>
      </c>
      <c r="K163" s="274">
        <f t="shared" si="138"/>
        <v>99.616</v>
      </c>
      <c r="L163" s="400"/>
      <c r="M163" s="333"/>
      <c r="N163" s="276">
        <f t="shared" ref="N163:O163" si="139">AVERAGE(N158:N162)</f>
        <v>93.126000000000005</v>
      </c>
      <c r="O163" s="277">
        <f t="shared" si="139"/>
        <v>99.646000000000001</v>
      </c>
      <c r="P163" s="407"/>
      <c r="Q163" s="401"/>
      <c r="R163" s="277">
        <f t="shared" ref="R163:S163" si="140">AVERAGE(R158:R162)</f>
        <v>92.488</v>
      </c>
      <c r="S163" s="277">
        <f t="shared" si="140"/>
        <v>99.585999999999999</v>
      </c>
      <c r="T163" s="407"/>
      <c r="U163" s="334"/>
      <c r="V163" s="280">
        <f t="shared" ref="V163:W163" si="141">AVERAGE(V158:V162)</f>
        <v>91.378000000000014</v>
      </c>
      <c r="W163" s="280">
        <f t="shared" si="141"/>
        <v>99.417999999999992</v>
      </c>
      <c r="X163" s="400"/>
      <c r="Y163" s="401"/>
      <c r="AA163" s="96"/>
    </row>
    <row r="164" spans="1:27" ht="12.75">
      <c r="A164" s="282" t="s">
        <v>248</v>
      </c>
      <c r="B164" s="283">
        <f t="shared" ref="B164:C164" si="142">STDEV(B158:B162)</f>
        <v>0.25645662401271607</v>
      </c>
      <c r="C164" s="283">
        <f t="shared" si="142"/>
        <v>2.880972058177704E-2</v>
      </c>
      <c r="D164" s="397"/>
      <c r="E164" s="398"/>
      <c r="F164" s="284">
        <f t="shared" ref="F164:G164" si="143">STDEV(F158:F162)</f>
        <v>0.25791471458604137</v>
      </c>
      <c r="G164" s="284">
        <f t="shared" si="143"/>
        <v>2.3874672772627253E-2</v>
      </c>
      <c r="H164" s="397"/>
      <c r="I164" s="402"/>
      <c r="J164" s="284">
        <f t="shared" ref="J164:K164" si="144">STDEV(J158:J162)</f>
        <v>0.30857738089497144</v>
      </c>
      <c r="K164" s="284">
        <f t="shared" si="144"/>
        <v>4.1593268686169915E-2</v>
      </c>
      <c r="L164" s="397"/>
      <c r="M164" s="398"/>
      <c r="N164" s="286">
        <f t="shared" ref="N164:O164" si="145">STDEV(N158:N162)</f>
        <v>0.43038354987150518</v>
      </c>
      <c r="O164" s="287">
        <f t="shared" si="145"/>
        <v>2.4083189157585994E-2</v>
      </c>
      <c r="P164" s="398"/>
      <c r="Q164" s="402"/>
      <c r="R164" s="287">
        <f t="shared" ref="R164:S164" si="146">STDEV(R158:R162)</f>
        <v>0.45290175535097837</v>
      </c>
      <c r="S164" s="287">
        <f t="shared" si="146"/>
        <v>5.1283525619832251E-2</v>
      </c>
      <c r="T164" s="398"/>
      <c r="U164" s="408"/>
      <c r="V164" s="290">
        <f t="shared" ref="V164:W164" si="147">STDEV(V158:V162)</f>
        <v>0.13311649033834796</v>
      </c>
      <c r="W164" s="290">
        <f t="shared" si="147"/>
        <v>6.9785385289471161E-2</v>
      </c>
      <c r="X164" s="397"/>
      <c r="Y164" s="402"/>
      <c r="AA164" s="96"/>
    </row>
  </sheetData>
  <mergeCells count="205">
    <mergeCell ref="J149:K149"/>
    <mergeCell ref="N149:O149"/>
    <mergeCell ref="P149:Q150"/>
    <mergeCell ref="R149:S149"/>
    <mergeCell ref="T149:U150"/>
    <mergeCell ref="V149:W149"/>
    <mergeCell ref="X149:Y150"/>
    <mergeCell ref="J70:K70"/>
    <mergeCell ref="L70:M70"/>
    <mergeCell ref="N70:O70"/>
    <mergeCell ref="P70:Q70"/>
    <mergeCell ref="R70:S70"/>
    <mergeCell ref="T70:U70"/>
    <mergeCell ref="V70:W70"/>
    <mergeCell ref="X70:Y70"/>
    <mergeCell ref="B56:B57"/>
    <mergeCell ref="B58:B59"/>
    <mergeCell ref="B61:B62"/>
    <mergeCell ref="A68:Y68"/>
    <mergeCell ref="A69:A71"/>
    <mergeCell ref="B69:E69"/>
    <mergeCell ref="F69:I69"/>
    <mergeCell ref="L149:M150"/>
    <mergeCell ref="L151:M155"/>
    <mergeCell ref="P151:Q155"/>
    <mergeCell ref="T151:U155"/>
    <mergeCell ref="L156:M157"/>
    <mergeCell ref="T156:U157"/>
    <mergeCell ref="T158:U162"/>
    <mergeCell ref="T163:U164"/>
    <mergeCell ref="R69:U69"/>
    <mergeCell ref="X151:Y155"/>
    <mergeCell ref="X156:Y157"/>
    <mergeCell ref="X158:Y162"/>
    <mergeCell ref="X163:Y164"/>
    <mergeCell ref="P156:Q157"/>
    <mergeCell ref="P158:Q162"/>
    <mergeCell ref="P163:Q164"/>
    <mergeCell ref="L158:M162"/>
    <mergeCell ref="L163:M164"/>
    <mergeCell ref="R147:U148"/>
    <mergeCell ref="V147:Y148"/>
    <mergeCell ref="F142:G146"/>
    <mergeCell ref="J142:M146"/>
    <mergeCell ref="N142:O146"/>
    <mergeCell ref="R142:U146"/>
    <mergeCell ref="V142:Y146"/>
    <mergeCell ref="J147:M148"/>
    <mergeCell ref="N147:O148"/>
    <mergeCell ref="H156:I157"/>
    <mergeCell ref="H158:I162"/>
    <mergeCell ref="H163:I164"/>
    <mergeCell ref="B147:C148"/>
    <mergeCell ref="F147:G148"/>
    <mergeCell ref="B149:C149"/>
    <mergeCell ref="D149:E150"/>
    <mergeCell ref="F149:G149"/>
    <mergeCell ref="H149:I150"/>
    <mergeCell ref="H151:I155"/>
    <mergeCell ref="D151:E155"/>
    <mergeCell ref="D156:E157"/>
    <mergeCell ref="D158:E162"/>
    <mergeCell ref="D163:E164"/>
    <mergeCell ref="A151:A155"/>
    <mergeCell ref="A158:A162"/>
    <mergeCell ref="A107:A111"/>
    <mergeCell ref="A114:A118"/>
    <mergeCell ref="A121:A125"/>
    <mergeCell ref="A128:A132"/>
    <mergeCell ref="A135:A139"/>
    <mergeCell ref="A142:A146"/>
    <mergeCell ref="B142:C146"/>
    <mergeCell ref="B70:C70"/>
    <mergeCell ref="D70:E70"/>
    <mergeCell ref="F70:G70"/>
    <mergeCell ref="H70:I70"/>
    <mergeCell ref="A72:A76"/>
    <mergeCell ref="A79:A83"/>
    <mergeCell ref="A86:A90"/>
    <mergeCell ref="A93:A97"/>
    <mergeCell ref="A100:A104"/>
    <mergeCell ref="P63:P64"/>
    <mergeCell ref="A38:C38"/>
    <mergeCell ref="G38:P38"/>
    <mergeCell ref="S38:AC38"/>
    <mergeCell ref="P40:P41"/>
    <mergeCell ref="P42:P51"/>
    <mergeCell ref="B43:B50"/>
    <mergeCell ref="B54:B55"/>
    <mergeCell ref="J69:M69"/>
    <mergeCell ref="N69:Q69"/>
    <mergeCell ref="V69:Y69"/>
    <mergeCell ref="D32:D33"/>
    <mergeCell ref="E32:E33"/>
    <mergeCell ref="F32:F33"/>
    <mergeCell ref="M32:O32"/>
    <mergeCell ref="V32:X32"/>
    <mergeCell ref="M33:O33"/>
    <mergeCell ref="V33:X33"/>
    <mergeCell ref="P53:P54"/>
    <mergeCell ref="P55:P62"/>
    <mergeCell ref="AE32:AG32"/>
    <mergeCell ref="AE33:AG33"/>
    <mergeCell ref="AI33:AQ33"/>
    <mergeCell ref="I34:O34"/>
    <mergeCell ref="R34:X34"/>
    <mergeCell ref="AA34:AG34"/>
    <mergeCell ref="AI34:AQ34"/>
    <mergeCell ref="I35:O35"/>
    <mergeCell ref="R35:X35"/>
    <mergeCell ref="AA35:AG35"/>
    <mergeCell ref="AI35:AQ35"/>
    <mergeCell ref="E29:E30"/>
    <mergeCell ref="F29:F30"/>
    <mergeCell ref="M31:O31"/>
    <mergeCell ref="V31:X31"/>
    <mergeCell ref="AE31:AG31"/>
    <mergeCell ref="D8:D18"/>
    <mergeCell ref="D20:D21"/>
    <mergeCell ref="E20:E21"/>
    <mergeCell ref="F20:F21"/>
    <mergeCell ref="D23:D30"/>
    <mergeCell ref="E23:E25"/>
    <mergeCell ref="F23:F25"/>
    <mergeCell ref="AI29:AQ29"/>
    <mergeCell ref="AI30:AQ30"/>
    <mergeCell ref="AI31:AQ31"/>
    <mergeCell ref="AI32:AQ32"/>
    <mergeCell ref="AI20:AQ20"/>
    <mergeCell ref="AI21:AQ21"/>
    <mergeCell ref="AI22:AQ22"/>
    <mergeCell ref="AI23:AQ23"/>
    <mergeCell ref="AI24:AQ24"/>
    <mergeCell ref="AI25:AQ25"/>
    <mergeCell ref="AI26:AQ26"/>
    <mergeCell ref="A6:A7"/>
    <mergeCell ref="P6:P7"/>
    <mergeCell ref="Q6:T6"/>
    <mergeCell ref="E8:E18"/>
    <mergeCell ref="F8:F17"/>
    <mergeCell ref="G16:G17"/>
    <mergeCell ref="AI18:AQ18"/>
    <mergeCell ref="AI19:AQ19"/>
    <mergeCell ref="E27:E28"/>
    <mergeCell ref="F27:F28"/>
    <mergeCell ref="AI27:AQ27"/>
    <mergeCell ref="AI28:AQ28"/>
    <mergeCell ref="AR6:AR7"/>
    <mergeCell ref="AS6:AS7"/>
    <mergeCell ref="AT6:AT7"/>
    <mergeCell ref="AU6:AU7"/>
    <mergeCell ref="AW7:BL7"/>
    <mergeCell ref="U6:X6"/>
    <mergeCell ref="Y6:Y7"/>
    <mergeCell ref="Z6:AC6"/>
    <mergeCell ref="AD6:AG6"/>
    <mergeCell ref="AH6:AH7"/>
    <mergeCell ref="AI6:AL6"/>
    <mergeCell ref="AM6:AP6"/>
    <mergeCell ref="B6:B7"/>
    <mergeCell ref="C6:C7"/>
    <mergeCell ref="D6:D7"/>
    <mergeCell ref="E6:E7"/>
    <mergeCell ref="F6:F7"/>
    <mergeCell ref="G6:G7"/>
    <mergeCell ref="H6:K6"/>
    <mergeCell ref="L6:O6"/>
    <mergeCell ref="AQ6:AQ7"/>
    <mergeCell ref="AD4:AG4"/>
    <mergeCell ref="AM4:AP4"/>
    <mergeCell ref="AD5:AG5"/>
    <mergeCell ref="AM5:AP5"/>
    <mergeCell ref="H1:O1"/>
    <mergeCell ref="Q1:X1"/>
    <mergeCell ref="Z1:AG1"/>
    <mergeCell ref="AI1:AP1"/>
    <mergeCell ref="A2:A3"/>
    <mergeCell ref="B2:B3"/>
    <mergeCell ref="C2:C3"/>
    <mergeCell ref="D4:D5"/>
    <mergeCell ref="F4:F5"/>
    <mergeCell ref="L4:O4"/>
    <mergeCell ref="U4:X4"/>
    <mergeCell ref="L5:O5"/>
    <mergeCell ref="U5:X5"/>
    <mergeCell ref="Y2:Y3"/>
    <mergeCell ref="AH2:AH3"/>
    <mergeCell ref="AI2:AL2"/>
    <mergeCell ref="AM2:AP3"/>
    <mergeCell ref="AQ2:AQ3"/>
    <mergeCell ref="AR2:AR3"/>
    <mergeCell ref="AS2:AS3"/>
    <mergeCell ref="AT2:AT3"/>
    <mergeCell ref="AU2:AU3"/>
    <mergeCell ref="Z2:AC2"/>
    <mergeCell ref="AD2:AG3"/>
    <mergeCell ref="D2:D3"/>
    <mergeCell ref="E2:E3"/>
    <mergeCell ref="F2:F3"/>
    <mergeCell ref="G2:G3"/>
    <mergeCell ref="H2:K2"/>
    <mergeCell ref="L2:O3"/>
    <mergeCell ref="P2:P3"/>
    <mergeCell ref="Q2:T2"/>
    <mergeCell ref="U2:X3"/>
  </mergeCells>
  <conditionalFormatting sqref="AR4:AS5 AT4:AU18 AR7:AR18 AS8:AS18 AR20:AU21 AR23:AU30 AR32:AU33 AR35:AU35">
    <cfRule type="cellIs" dxfId="9" priority="1" operator="greaterThan">
      <formula>10</formula>
    </cfRule>
    <cfRule type="cellIs" dxfId="8" priority="2" operator="greaterThan">
      <formula>5</formula>
    </cfRule>
    <cfRule type="cellIs" dxfId="7" priority="3" operator="lessThanOrEqual">
      <formula>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26"/>
  <sheetViews>
    <sheetView workbookViewId="0">
      <selection activeCell="Y115" sqref="Y115"/>
    </sheetView>
  </sheetViews>
  <sheetFormatPr defaultColWidth="12.5703125" defaultRowHeight="15.75" customHeight="1"/>
  <cols>
    <col min="1" max="1" width="7.42578125" customWidth="1"/>
    <col min="2" max="2" width="4.5703125" customWidth="1"/>
    <col min="3" max="3" width="20.42578125" customWidth="1"/>
    <col min="4" max="6" width="10.7109375" customWidth="1"/>
    <col min="7" max="12" width="6.42578125" customWidth="1"/>
    <col min="13" max="13" width="6.7109375" customWidth="1"/>
    <col min="14" max="30" width="6.42578125" customWidth="1"/>
  </cols>
  <sheetData>
    <row r="1" spans="1:26">
      <c r="G1" s="429" t="s">
        <v>59</v>
      </c>
      <c r="H1" s="342"/>
      <c r="I1" s="342"/>
      <c r="J1" s="343"/>
      <c r="K1" s="429" t="s">
        <v>60</v>
      </c>
      <c r="L1" s="342"/>
      <c r="M1" s="342"/>
      <c r="N1" s="343"/>
      <c r="O1" s="430" t="s">
        <v>61</v>
      </c>
      <c r="P1" s="342"/>
      <c r="Q1" s="342"/>
      <c r="R1" s="343"/>
      <c r="S1" s="430" t="s">
        <v>62</v>
      </c>
      <c r="T1" s="342"/>
      <c r="U1" s="342"/>
      <c r="V1" s="343"/>
      <c r="W1" s="430" t="s">
        <v>63</v>
      </c>
      <c r="X1" s="342"/>
      <c r="Y1" s="342"/>
      <c r="Z1" s="342"/>
    </row>
    <row r="2" spans="1:26">
      <c r="A2" s="422" t="s">
        <v>48</v>
      </c>
      <c r="B2" s="422" t="s">
        <v>64</v>
      </c>
      <c r="C2" s="422" t="s">
        <v>65</v>
      </c>
      <c r="D2" s="422" t="s">
        <v>66</v>
      </c>
      <c r="E2" s="422" t="s">
        <v>67</v>
      </c>
      <c r="F2" s="422" t="s">
        <v>68</v>
      </c>
      <c r="G2" s="417" t="s">
        <v>27</v>
      </c>
      <c r="H2" s="342"/>
      <c r="I2" s="418" t="s">
        <v>38</v>
      </c>
      <c r="J2" s="343"/>
      <c r="K2" s="417" t="s">
        <v>27</v>
      </c>
      <c r="L2" s="342"/>
      <c r="M2" s="418" t="s">
        <v>38</v>
      </c>
      <c r="N2" s="343"/>
      <c r="O2" s="417" t="s">
        <v>27</v>
      </c>
      <c r="P2" s="342"/>
      <c r="Q2" s="418" t="s">
        <v>38</v>
      </c>
      <c r="R2" s="343"/>
      <c r="S2" s="417" t="s">
        <v>27</v>
      </c>
      <c r="T2" s="342"/>
      <c r="U2" s="418" t="s">
        <v>38</v>
      </c>
      <c r="V2" s="343"/>
      <c r="W2" s="417" t="s">
        <v>27</v>
      </c>
      <c r="X2" s="342"/>
      <c r="Y2" s="418" t="s">
        <v>38</v>
      </c>
      <c r="Z2" s="343"/>
    </row>
    <row r="3" spans="1:26">
      <c r="A3" s="342"/>
      <c r="B3" s="342"/>
      <c r="C3" s="342"/>
      <c r="D3" s="342"/>
      <c r="E3" s="342"/>
      <c r="F3" s="342"/>
      <c r="G3" s="59" t="s">
        <v>16</v>
      </c>
      <c r="H3" s="59" t="s">
        <v>17</v>
      </c>
      <c r="I3" s="59" t="s">
        <v>16</v>
      </c>
      <c r="J3" s="61" t="s">
        <v>17</v>
      </c>
      <c r="K3" s="59" t="s">
        <v>16</v>
      </c>
      <c r="L3" s="59" t="s">
        <v>17</v>
      </c>
      <c r="M3" s="59" t="s">
        <v>16</v>
      </c>
      <c r="N3" s="61" t="s">
        <v>17</v>
      </c>
      <c r="O3" s="59" t="s">
        <v>16</v>
      </c>
      <c r="P3" s="59" t="s">
        <v>17</v>
      </c>
      <c r="Q3" s="59" t="s">
        <v>16</v>
      </c>
      <c r="R3" s="61" t="s">
        <v>17</v>
      </c>
      <c r="S3" s="59" t="s">
        <v>16</v>
      </c>
      <c r="T3" s="59" t="s">
        <v>17</v>
      </c>
      <c r="U3" s="59" t="s">
        <v>16</v>
      </c>
      <c r="V3" s="61" t="s">
        <v>17</v>
      </c>
      <c r="W3" s="59" t="s">
        <v>16</v>
      </c>
      <c r="X3" s="59" t="s">
        <v>17</v>
      </c>
      <c r="Y3" s="59" t="s">
        <v>16</v>
      </c>
      <c r="Z3" s="59" t="s">
        <v>17</v>
      </c>
    </row>
    <row r="4" spans="1:26">
      <c r="A4" s="427" t="s">
        <v>69</v>
      </c>
      <c r="B4" s="330"/>
      <c r="C4" s="330"/>
      <c r="D4" s="330"/>
      <c r="E4" s="330"/>
      <c r="F4" s="331"/>
      <c r="G4" s="62">
        <v>88.72</v>
      </c>
      <c r="H4" s="62">
        <v>99.65</v>
      </c>
      <c r="I4" s="62">
        <v>93.8</v>
      </c>
      <c r="J4" s="63">
        <v>99.9</v>
      </c>
      <c r="K4" s="62">
        <v>0</v>
      </c>
      <c r="L4" s="62">
        <v>0</v>
      </c>
      <c r="M4" s="62">
        <v>0</v>
      </c>
      <c r="N4" s="63">
        <v>0</v>
      </c>
      <c r="O4" s="64">
        <v>88.72</v>
      </c>
      <c r="P4" s="64">
        <v>99.65</v>
      </c>
      <c r="Q4" s="64">
        <v>93.8</v>
      </c>
      <c r="R4" s="65">
        <v>99.9</v>
      </c>
      <c r="S4" s="64">
        <v>88.72</v>
      </c>
      <c r="T4" s="64">
        <v>99.65</v>
      </c>
      <c r="U4" s="64">
        <v>93.8</v>
      </c>
      <c r="V4" s="65">
        <v>99.9</v>
      </c>
      <c r="W4" s="64">
        <v>88.72</v>
      </c>
      <c r="X4" s="64">
        <v>99.65</v>
      </c>
      <c r="Y4" s="64">
        <v>93.8</v>
      </c>
      <c r="Z4" s="65">
        <v>99.9</v>
      </c>
    </row>
    <row r="5" spans="1:26">
      <c r="A5" s="423" t="s">
        <v>70</v>
      </c>
      <c r="B5" s="67">
        <v>1</v>
      </c>
      <c r="C5" s="68" t="s">
        <v>72</v>
      </c>
      <c r="D5" s="68" t="s">
        <v>73</v>
      </c>
      <c r="E5" s="70" t="s">
        <v>74</v>
      </c>
      <c r="F5" s="68" t="s">
        <v>73</v>
      </c>
      <c r="G5" s="71">
        <f t="shared" ref="G5:J5" si="0">AVERAGE(O5,S5,W5)</f>
        <v>88.660000000000011</v>
      </c>
      <c r="H5" s="71">
        <f t="shared" si="0"/>
        <v>99.666666666666671</v>
      </c>
      <c r="I5" s="71">
        <f t="shared" si="0"/>
        <v>92.803333333333342</v>
      </c>
      <c r="J5" s="72">
        <f t="shared" si="0"/>
        <v>99.836666666666659</v>
      </c>
      <c r="K5" s="71">
        <f t="shared" ref="K5:N5" si="1">STDEV(O5,S5,W5)</f>
        <v>8.7177978870812425E-2</v>
      </c>
      <c r="L5" s="71">
        <f t="shared" si="1"/>
        <v>1.5275252316519527E-2</v>
      </c>
      <c r="M5" s="71">
        <f t="shared" si="1"/>
        <v>0.26633312473917398</v>
      </c>
      <c r="N5" s="72">
        <f t="shared" si="1"/>
        <v>1.1547005383790217E-2</v>
      </c>
      <c r="O5" s="71">
        <v>88.56</v>
      </c>
      <c r="P5" s="71">
        <v>99.68</v>
      </c>
      <c r="Q5" s="71">
        <v>92.87</v>
      </c>
      <c r="R5" s="72">
        <v>99.83</v>
      </c>
      <c r="S5" s="74">
        <v>88.7</v>
      </c>
      <c r="T5" s="74">
        <v>99.65</v>
      </c>
      <c r="U5" s="74">
        <v>93.03</v>
      </c>
      <c r="V5" s="75">
        <v>99.85</v>
      </c>
      <c r="W5" s="74">
        <v>88.72</v>
      </c>
      <c r="X5" s="74">
        <v>99.67</v>
      </c>
      <c r="Y5" s="74">
        <v>92.51</v>
      </c>
      <c r="Z5" s="74">
        <v>99.83</v>
      </c>
    </row>
    <row r="6" spans="1:26">
      <c r="A6" s="342"/>
      <c r="B6" s="77">
        <v>2</v>
      </c>
      <c r="C6" s="70" t="s">
        <v>72</v>
      </c>
      <c r="D6" s="70" t="s">
        <v>75</v>
      </c>
      <c r="E6" s="70" t="s">
        <v>74</v>
      </c>
      <c r="F6" s="70" t="s">
        <v>75</v>
      </c>
      <c r="G6" s="71">
        <f t="shared" ref="G6:J6" si="2">AVERAGE(O6,S6,W6)</f>
        <v>88.526666666666657</v>
      </c>
      <c r="H6" s="71">
        <f t="shared" si="2"/>
        <v>99.686666666666667</v>
      </c>
      <c r="I6" s="71">
        <f t="shared" si="2"/>
        <v>88.443333333333328</v>
      </c>
      <c r="J6" s="72">
        <f t="shared" si="2"/>
        <v>99.436666666666667</v>
      </c>
      <c r="K6" s="71">
        <f t="shared" ref="K6:N6" si="3">STDEV(O6,S6,W6)</f>
        <v>8.7368949480534502E-2</v>
      </c>
      <c r="L6" s="71">
        <f t="shared" si="3"/>
        <v>2.081665999465605E-2</v>
      </c>
      <c r="M6" s="71">
        <f t="shared" si="3"/>
        <v>1.4228609676750981</v>
      </c>
      <c r="N6" s="72">
        <f t="shared" si="3"/>
        <v>8.082903768655321E-2</v>
      </c>
      <c r="O6" s="78">
        <v>88.43</v>
      </c>
      <c r="P6" s="78">
        <v>99.71</v>
      </c>
      <c r="Q6" s="78">
        <v>87.83</v>
      </c>
      <c r="R6" s="79">
        <v>99.35</v>
      </c>
      <c r="S6" s="81">
        <v>88.6</v>
      </c>
      <c r="T6" s="81">
        <v>99.68</v>
      </c>
      <c r="U6" s="81">
        <v>90.07</v>
      </c>
      <c r="V6" s="82">
        <v>99.51</v>
      </c>
      <c r="W6" s="81">
        <v>88.55</v>
      </c>
      <c r="X6" s="81">
        <v>99.67</v>
      </c>
      <c r="Y6" s="81">
        <v>87.43</v>
      </c>
      <c r="Z6" s="81">
        <v>99.45</v>
      </c>
    </row>
    <row r="7" spans="1:26">
      <c r="A7" s="342"/>
      <c r="B7" s="77">
        <v>3</v>
      </c>
      <c r="C7" s="70" t="s">
        <v>72</v>
      </c>
      <c r="D7" s="70" t="s">
        <v>73</v>
      </c>
      <c r="E7" s="70" t="s">
        <v>74</v>
      </c>
      <c r="F7" s="70" t="s">
        <v>75</v>
      </c>
      <c r="G7" s="71">
        <f t="shared" ref="G7:J7" si="4">AVERAGE(O7,S7,W7)</f>
        <v>88.49666666666667</v>
      </c>
      <c r="H7" s="71">
        <f t="shared" si="4"/>
        <v>99.716666666666654</v>
      </c>
      <c r="I7" s="71">
        <f t="shared" si="4"/>
        <v>92.74666666666667</v>
      </c>
      <c r="J7" s="72">
        <f t="shared" si="4"/>
        <v>99.83</v>
      </c>
      <c r="K7" s="71">
        <f t="shared" ref="K7:N7" si="5">STDEV(O7,S7,W7)</f>
        <v>4.1633319989322334E-2</v>
      </c>
      <c r="L7" s="71">
        <f t="shared" si="5"/>
        <v>5.7735026918992113E-3</v>
      </c>
      <c r="M7" s="71">
        <f t="shared" si="5"/>
        <v>0.12013880860627202</v>
      </c>
      <c r="N7" s="72">
        <f t="shared" si="5"/>
        <v>4.3588989435404589E-2</v>
      </c>
      <c r="O7" s="83">
        <v>88.51</v>
      </c>
      <c r="P7" s="83">
        <v>99.72</v>
      </c>
      <c r="Q7" s="83">
        <v>92.63</v>
      </c>
      <c r="R7" s="84">
        <v>99.88</v>
      </c>
      <c r="S7" s="83">
        <v>88.45</v>
      </c>
      <c r="T7" s="83">
        <v>99.71</v>
      </c>
      <c r="U7" s="83">
        <v>92.74</v>
      </c>
      <c r="V7" s="82">
        <v>99.8</v>
      </c>
      <c r="W7" s="83">
        <v>88.53</v>
      </c>
      <c r="X7" s="83">
        <v>99.72</v>
      </c>
      <c r="Y7" s="83">
        <v>92.87</v>
      </c>
      <c r="Z7" s="83">
        <v>99.81</v>
      </c>
    </row>
    <row r="8" spans="1:26">
      <c r="A8" s="342"/>
      <c r="B8" s="77">
        <v>4</v>
      </c>
      <c r="C8" s="70" t="s">
        <v>72</v>
      </c>
      <c r="D8" s="70" t="s">
        <v>75</v>
      </c>
      <c r="E8" s="70" t="s">
        <v>74</v>
      </c>
      <c r="F8" s="70" t="s">
        <v>73</v>
      </c>
      <c r="G8" s="71">
        <f t="shared" ref="G8:J8" si="6">AVERAGE(O8,S8,W8)</f>
        <v>88.68</v>
      </c>
      <c r="H8" s="71">
        <f t="shared" si="6"/>
        <v>99.666666666666671</v>
      </c>
      <c r="I8" s="71">
        <f t="shared" si="6"/>
        <v>90.49666666666667</v>
      </c>
      <c r="J8" s="72">
        <f t="shared" si="6"/>
        <v>99.606666666666669</v>
      </c>
      <c r="K8" s="71">
        <f t="shared" ref="K8:N8" si="7">STDEV(O8,S8,W8)</f>
        <v>5.9999999999995168E-2</v>
      </c>
      <c r="L8" s="71">
        <f t="shared" si="7"/>
        <v>1.1547005383798423E-2</v>
      </c>
      <c r="M8" s="71">
        <f t="shared" si="7"/>
        <v>2.0098839104120723</v>
      </c>
      <c r="N8" s="72">
        <f t="shared" si="7"/>
        <v>0.22854612955229858</v>
      </c>
      <c r="O8" s="83">
        <v>88.68</v>
      </c>
      <c r="P8" s="83">
        <v>99.68</v>
      </c>
      <c r="Q8" s="83">
        <v>88.86</v>
      </c>
      <c r="R8" s="84">
        <v>99.46</v>
      </c>
      <c r="S8" s="83">
        <v>88.62</v>
      </c>
      <c r="T8" s="83">
        <v>99.66</v>
      </c>
      <c r="U8" s="83">
        <v>89.89</v>
      </c>
      <c r="V8" s="84">
        <v>99.49</v>
      </c>
      <c r="W8" s="83">
        <v>88.74</v>
      </c>
      <c r="X8" s="83">
        <v>99.66</v>
      </c>
      <c r="Y8" s="83">
        <v>92.74</v>
      </c>
      <c r="Z8" s="83">
        <v>99.87</v>
      </c>
    </row>
    <row r="9" spans="1:26">
      <c r="A9" s="342"/>
      <c r="B9" s="77">
        <v>5</v>
      </c>
      <c r="C9" s="70" t="s">
        <v>77</v>
      </c>
      <c r="D9" s="70" t="s">
        <v>73</v>
      </c>
      <c r="E9" s="70" t="s">
        <v>74</v>
      </c>
      <c r="F9" s="70" t="s">
        <v>73</v>
      </c>
      <c r="G9" s="71">
        <f t="shared" ref="G9:J9" si="8">AVERAGE(O9,S9,W9)</f>
        <v>87.95</v>
      </c>
      <c r="H9" s="71">
        <f t="shared" si="8"/>
        <v>99.576666666666668</v>
      </c>
      <c r="I9" s="71">
        <f t="shared" si="8"/>
        <v>92.743333333333339</v>
      </c>
      <c r="J9" s="72">
        <f t="shared" si="8"/>
        <v>99.846666666666678</v>
      </c>
      <c r="K9" s="71">
        <f t="shared" ref="K9:N9" si="9">STDEV(O9,S9,W9)</f>
        <v>3.4641016151370656E-2</v>
      </c>
      <c r="L9" s="71">
        <f t="shared" si="9"/>
        <v>1.1547005383798423E-2</v>
      </c>
      <c r="M9" s="71">
        <f t="shared" si="9"/>
        <v>0.1401189970465587</v>
      </c>
      <c r="N9" s="72">
        <f t="shared" si="9"/>
        <v>1.5275252316519529E-2</v>
      </c>
      <c r="O9" s="78">
        <v>87.93</v>
      </c>
      <c r="P9" s="78">
        <v>99.57</v>
      </c>
      <c r="Q9" s="78">
        <v>92.75</v>
      </c>
      <c r="R9" s="79">
        <v>99.85</v>
      </c>
      <c r="S9" s="81">
        <v>87.93</v>
      </c>
      <c r="T9" s="81">
        <v>99.59</v>
      </c>
      <c r="U9" s="81">
        <v>92.6</v>
      </c>
      <c r="V9" s="82">
        <v>99.83</v>
      </c>
      <c r="W9" s="81">
        <v>87.99</v>
      </c>
      <c r="X9" s="81">
        <v>99.57</v>
      </c>
      <c r="Y9" s="81">
        <v>92.88</v>
      </c>
      <c r="Z9" s="81">
        <v>99.86</v>
      </c>
    </row>
    <row r="10" spans="1:26">
      <c r="A10" s="342"/>
      <c r="B10" s="77">
        <v>6</v>
      </c>
      <c r="C10" s="70" t="s">
        <v>77</v>
      </c>
      <c r="D10" s="70" t="s">
        <v>75</v>
      </c>
      <c r="E10" s="70" t="s">
        <v>74</v>
      </c>
      <c r="F10" s="70" t="s">
        <v>75</v>
      </c>
      <c r="G10" s="71">
        <f t="shared" ref="G10:J10" si="10">AVERAGE(O10,S10,W10)</f>
        <v>87.626666666666665</v>
      </c>
      <c r="H10" s="71">
        <f t="shared" si="10"/>
        <v>99.616666666666674</v>
      </c>
      <c r="I10" s="71">
        <f t="shared" si="10"/>
        <v>89.070000000000007</v>
      </c>
      <c r="J10" s="72">
        <f t="shared" si="10"/>
        <v>99.563333333333333</v>
      </c>
      <c r="K10" s="71">
        <f t="shared" ref="K10:N10" si="11">STDEV(O10,S10,W10)</f>
        <v>0.21221058723195826</v>
      </c>
      <c r="L10" s="71">
        <f t="shared" si="11"/>
        <v>1.1547005383790217E-2</v>
      </c>
      <c r="M10" s="71">
        <f t="shared" si="11"/>
        <v>0.2211334438749547</v>
      </c>
      <c r="N10" s="72">
        <f t="shared" si="11"/>
        <v>2.516611478423459E-2</v>
      </c>
      <c r="O10" s="78">
        <v>87.8</v>
      </c>
      <c r="P10" s="78">
        <v>99.61</v>
      </c>
      <c r="Q10" s="78">
        <v>89.32</v>
      </c>
      <c r="R10" s="79">
        <v>99.59</v>
      </c>
      <c r="S10" s="81">
        <v>87.69</v>
      </c>
      <c r="T10" s="81">
        <v>99.63</v>
      </c>
      <c r="U10" s="81">
        <v>88.99</v>
      </c>
      <c r="V10" s="82">
        <v>99.54</v>
      </c>
      <c r="W10" s="81">
        <v>87.39</v>
      </c>
      <c r="X10" s="81">
        <v>99.61</v>
      </c>
      <c r="Y10" s="81">
        <v>88.9</v>
      </c>
      <c r="Z10" s="81">
        <v>99.56</v>
      </c>
    </row>
    <row r="11" spans="1:26">
      <c r="A11" s="342"/>
      <c r="B11" s="77">
        <v>7</v>
      </c>
      <c r="C11" s="70" t="s">
        <v>77</v>
      </c>
      <c r="D11" s="70" t="s">
        <v>73</v>
      </c>
      <c r="E11" s="70" t="s">
        <v>74</v>
      </c>
      <c r="F11" s="70" t="s">
        <v>75</v>
      </c>
      <c r="G11" s="71">
        <f t="shared" ref="G11:J11" si="12">AVERAGE(O11,S11,W11)</f>
        <v>87.963333333333324</v>
      </c>
      <c r="H11" s="71">
        <f t="shared" si="12"/>
        <v>99.663333333333341</v>
      </c>
      <c r="I11" s="71">
        <f t="shared" si="12"/>
        <v>92</v>
      </c>
      <c r="J11" s="72">
        <f t="shared" si="12"/>
        <v>99.759999999999991</v>
      </c>
      <c r="K11" s="71">
        <f t="shared" ref="K11:N11" si="13">STDEV(O11,S11,W11)</f>
        <v>6.1101009266079663E-2</v>
      </c>
      <c r="L11" s="71">
        <f t="shared" si="13"/>
        <v>5.7735026918992113E-3</v>
      </c>
      <c r="M11" s="71">
        <f t="shared" si="13"/>
        <v>9.539392014169347E-2</v>
      </c>
      <c r="N11" s="72">
        <f t="shared" si="13"/>
        <v>2.0000000000003126E-2</v>
      </c>
      <c r="O11" s="83">
        <v>87.95</v>
      </c>
      <c r="P11" s="83">
        <v>99.66</v>
      </c>
      <c r="Q11" s="83">
        <v>92.1</v>
      </c>
      <c r="R11" s="84">
        <v>99.76</v>
      </c>
      <c r="S11" s="83">
        <v>88.03</v>
      </c>
      <c r="T11" s="83">
        <v>99.67</v>
      </c>
      <c r="U11" s="83">
        <v>91.91</v>
      </c>
      <c r="V11" s="84">
        <v>99.74</v>
      </c>
      <c r="W11" s="83">
        <v>87.91</v>
      </c>
      <c r="X11" s="83">
        <v>99.66</v>
      </c>
      <c r="Y11" s="83">
        <v>91.99</v>
      </c>
      <c r="Z11" s="83">
        <v>99.78</v>
      </c>
    </row>
    <row r="12" spans="1:26">
      <c r="A12" s="342"/>
      <c r="B12" s="77">
        <v>8</v>
      </c>
      <c r="C12" s="70" t="s">
        <v>77</v>
      </c>
      <c r="D12" s="70" t="s">
        <v>75</v>
      </c>
      <c r="E12" s="70" t="s">
        <v>74</v>
      </c>
      <c r="F12" s="70" t="s">
        <v>73</v>
      </c>
      <c r="G12" s="71">
        <f t="shared" ref="G12:J12" si="14">AVERAGE(O12,S12,W12)</f>
        <v>87.969999999999985</v>
      </c>
      <c r="H12" s="71">
        <f t="shared" si="14"/>
        <v>99.563333333333333</v>
      </c>
      <c r="I12" s="71">
        <f t="shared" si="14"/>
        <v>88.876666666666665</v>
      </c>
      <c r="J12" s="72">
        <f t="shared" si="14"/>
        <v>99.49666666666667</v>
      </c>
      <c r="K12" s="71">
        <f t="shared" ref="K12:N12" si="15">STDEV(O12,S12,W12)</f>
        <v>6.0000000000002274E-2</v>
      </c>
      <c r="L12" s="71">
        <f t="shared" si="15"/>
        <v>1.5275252316519529E-2</v>
      </c>
      <c r="M12" s="71">
        <f t="shared" si="15"/>
        <v>0.20526405757787192</v>
      </c>
      <c r="N12" s="72">
        <f t="shared" si="15"/>
        <v>1.5275252316519527E-2</v>
      </c>
      <c r="O12" s="83">
        <v>87.91</v>
      </c>
      <c r="P12" s="83">
        <v>99.55</v>
      </c>
      <c r="Q12" s="83">
        <v>88.65</v>
      </c>
      <c r="R12" s="84">
        <v>99.48</v>
      </c>
      <c r="S12" s="83">
        <v>88.03</v>
      </c>
      <c r="T12" s="83">
        <v>99.56</v>
      </c>
      <c r="U12" s="83">
        <v>89.05</v>
      </c>
      <c r="V12" s="84">
        <v>99.5</v>
      </c>
      <c r="W12" s="83">
        <v>87.97</v>
      </c>
      <c r="X12" s="83">
        <v>99.58</v>
      </c>
      <c r="Y12" s="83">
        <v>88.93</v>
      </c>
      <c r="Z12" s="83">
        <v>99.51</v>
      </c>
    </row>
    <row r="13" spans="1:26">
      <c r="A13" s="342"/>
      <c r="B13" s="77">
        <v>9</v>
      </c>
      <c r="C13" s="70" t="s">
        <v>78</v>
      </c>
      <c r="D13" s="70" t="s">
        <v>73</v>
      </c>
      <c r="E13" s="70" t="s">
        <v>74</v>
      </c>
      <c r="F13" s="70" t="s">
        <v>73</v>
      </c>
      <c r="G13" s="71">
        <f t="shared" ref="G13:J13" si="16">AVERAGE(O13,S13,W13)</f>
        <v>88.713333333333324</v>
      </c>
      <c r="H13" s="71">
        <f t="shared" si="16"/>
        <v>99.663333333333341</v>
      </c>
      <c r="I13" s="71">
        <f t="shared" si="16"/>
        <v>92.89</v>
      </c>
      <c r="J13" s="72">
        <f t="shared" si="16"/>
        <v>99.84999999999998</v>
      </c>
      <c r="K13" s="71">
        <f t="shared" ref="K13:N13" si="17">STDEV(O13,S13,W13)</f>
        <v>2.516611478423459E-2</v>
      </c>
      <c r="L13" s="71">
        <f t="shared" si="17"/>
        <v>1.1547005383790217E-2</v>
      </c>
      <c r="M13" s="71">
        <f t="shared" si="17"/>
        <v>8.6602540378438939E-2</v>
      </c>
      <c r="N13" s="72">
        <f t="shared" si="17"/>
        <v>1.7404671430534633E-14</v>
      </c>
      <c r="O13" s="78">
        <v>88.74</v>
      </c>
      <c r="P13" s="78">
        <v>99.65</v>
      </c>
      <c r="Q13" s="78">
        <v>92.84</v>
      </c>
      <c r="R13" s="79">
        <v>99.85</v>
      </c>
      <c r="S13" s="81">
        <v>88.69</v>
      </c>
      <c r="T13" s="81">
        <v>99.67</v>
      </c>
      <c r="U13" s="81">
        <v>92.84</v>
      </c>
      <c r="V13" s="82">
        <v>99.85</v>
      </c>
      <c r="W13" s="81">
        <v>88.71</v>
      </c>
      <c r="X13" s="81">
        <v>99.67</v>
      </c>
      <c r="Y13" s="81">
        <v>92.99</v>
      </c>
      <c r="Z13" s="81">
        <v>99.85</v>
      </c>
    </row>
    <row r="14" spans="1:26">
      <c r="A14" s="342"/>
      <c r="B14" s="77">
        <v>10</v>
      </c>
      <c r="C14" s="70" t="s">
        <v>78</v>
      </c>
      <c r="D14" s="70" t="s">
        <v>75</v>
      </c>
      <c r="E14" s="70" t="s">
        <v>74</v>
      </c>
      <c r="F14" s="70" t="s">
        <v>75</v>
      </c>
      <c r="G14" s="71">
        <f t="shared" ref="G14:J14" si="18">AVERAGE(O14,S14,W14)</f>
        <v>88.589999999999989</v>
      </c>
      <c r="H14" s="71">
        <f t="shared" si="18"/>
        <v>99.693333333333328</v>
      </c>
      <c r="I14" s="71">
        <f t="shared" si="18"/>
        <v>88.053333333333342</v>
      </c>
      <c r="J14" s="72">
        <f t="shared" si="18"/>
        <v>99.476666666666645</v>
      </c>
      <c r="K14" s="71">
        <f t="shared" ref="K14:N14" si="19">STDEV(O14,S14,W14)</f>
        <v>5.196152422706829E-2</v>
      </c>
      <c r="L14" s="71">
        <f t="shared" si="19"/>
        <v>5.7735026918992113E-3</v>
      </c>
      <c r="M14" s="71">
        <f t="shared" si="19"/>
        <v>4.5092497528223655E-2</v>
      </c>
      <c r="N14" s="72">
        <f t="shared" si="19"/>
        <v>2.0816659994664012E-2</v>
      </c>
      <c r="O14" s="78">
        <v>88.62</v>
      </c>
      <c r="P14" s="78">
        <v>99.7</v>
      </c>
      <c r="Q14" s="78">
        <v>88.01</v>
      </c>
      <c r="R14" s="79">
        <v>99.5</v>
      </c>
      <c r="S14" s="81">
        <v>88.62</v>
      </c>
      <c r="T14" s="81">
        <v>99.69</v>
      </c>
      <c r="U14" s="81">
        <v>88.1</v>
      </c>
      <c r="V14" s="82">
        <v>99.46</v>
      </c>
      <c r="W14" s="81">
        <v>88.53</v>
      </c>
      <c r="X14" s="81">
        <v>99.69</v>
      </c>
      <c r="Y14" s="81">
        <v>88.05</v>
      </c>
      <c r="Z14" s="81">
        <v>99.47</v>
      </c>
    </row>
    <row r="15" spans="1:26">
      <c r="A15" s="342"/>
      <c r="B15" s="77">
        <v>11</v>
      </c>
      <c r="C15" s="70" t="s">
        <v>78</v>
      </c>
      <c r="D15" s="70" t="s">
        <v>73</v>
      </c>
      <c r="E15" s="70" t="s">
        <v>74</v>
      </c>
      <c r="F15" s="70" t="s">
        <v>75</v>
      </c>
      <c r="G15" s="71">
        <f t="shared" ref="G15:J15" si="20">AVERAGE(O15,S15,W15)</f>
        <v>88.546666666666667</v>
      </c>
      <c r="H15" s="71">
        <f t="shared" si="20"/>
        <v>99.683333333333337</v>
      </c>
      <c r="I15" s="71">
        <f t="shared" si="20"/>
        <v>92.806666666666672</v>
      </c>
      <c r="J15" s="72">
        <f t="shared" si="20"/>
        <v>99.84333333333332</v>
      </c>
      <c r="K15" s="71">
        <f t="shared" ref="K15:N15" si="21">STDEV(O15,S15,W15)</f>
        <v>3.0550504633039054E-2</v>
      </c>
      <c r="L15" s="71">
        <f t="shared" si="21"/>
        <v>1.1547005383790217E-2</v>
      </c>
      <c r="M15" s="71">
        <f t="shared" si="21"/>
        <v>4.7258156262526205E-2</v>
      </c>
      <c r="N15" s="72">
        <f t="shared" si="21"/>
        <v>1.5275252316519529E-2</v>
      </c>
      <c r="O15" s="78">
        <v>88.54</v>
      </c>
      <c r="P15" s="78">
        <v>99.69</v>
      </c>
      <c r="Q15" s="78">
        <v>92.86</v>
      </c>
      <c r="R15" s="79">
        <v>99.86</v>
      </c>
      <c r="S15" s="81">
        <v>88.58</v>
      </c>
      <c r="T15" s="81">
        <v>99.67</v>
      </c>
      <c r="U15" s="81">
        <v>92.79</v>
      </c>
      <c r="V15" s="82">
        <v>99.83</v>
      </c>
      <c r="W15" s="81">
        <v>88.52</v>
      </c>
      <c r="X15" s="81">
        <v>99.69</v>
      </c>
      <c r="Y15" s="81">
        <v>92.77</v>
      </c>
      <c r="Z15" s="81">
        <v>99.84</v>
      </c>
    </row>
    <row r="16" spans="1:26">
      <c r="A16" s="342"/>
      <c r="B16" s="77">
        <v>12</v>
      </c>
      <c r="C16" s="70" t="s">
        <v>78</v>
      </c>
      <c r="D16" s="70" t="s">
        <v>75</v>
      </c>
      <c r="E16" s="70" t="s">
        <v>74</v>
      </c>
      <c r="F16" s="70" t="s">
        <v>73</v>
      </c>
      <c r="G16" s="71">
        <f t="shared" ref="G16:J16" si="22">AVERAGE(O16,S16,W16)</f>
        <v>88.713333333333324</v>
      </c>
      <c r="H16" s="71">
        <f t="shared" si="22"/>
        <v>99.663333333333341</v>
      </c>
      <c r="I16" s="71">
        <f t="shared" si="22"/>
        <v>88.029999999999987</v>
      </c>
      <c r="J16" s="72">
        <f t="shared" si="22"/>
        <v>99.449999999999989</v>
      </c>
      <c r="K16" s="71">
        <f t="shared" ref="K16:N16" si="23">STDEV(O16,S16,W16)</f>
        <v>5.5075705472860816E-2</v>
      </c>
      <c r="L16" s="71">
        <f t="shared" si="23"/>
        <v>2.0816659994664012E-2</v>
      </c>
      <c r="M16" s="71">
        <f t="shared" si="23"/>
        <v>0.15099668870541319</v>
      </c>
      <c r="N16" s="72">
        <f t="shared" si="23"/>
        <v>1.7320508075681224E-2</v>
      </c>
      <c r="O16" s="78">
        <v>88.77</v>
      </c>
      <c r="P16" s="78">
        <v>99.67</v>
      </c>
      <c r="Q16" s="78">
        <v>88.19</v>
      </c>
      <c r="R16" s="79">
        <v>99.46</v>
      </c>
      <c r="S16" s="81">
        <v>88.71</v>
      </c>
      <c r="T16" s="81">
        <v>99.68</v>
      </c>
      <c r="U16" s="81">
        <v>87.89</v>
      </c>
      <c r="V16" s="82">
        <v>99.43</v>
      </c>
      <c r="W16" s="81">
        <v>88.66</v>
      </c>
      <c r="X16" s="81">
        <v>99.64</v>
      </c>
      <c r="Y16" s="81">
        <v>88.01</v>
      </c>
      <c r="Z16" s="81">
        <v>99.46</v>
      </c>
    </row>
    <row r="17" spans="1:26">
      <c r="A17" s="342"/>
      <c r="B17" s="77">
        <v>13</v>
      </c>
      <c r="C17" s="70" t="s">
        <v>72</v>
      </c>
      <c r="D17" s="70" t="s">
        <v>73</v>
      </c>
      <c r="E17" s="70" t="s">
        <v>80</v>
      </c>
      <c r="F17" s="70" t="s">
        <v>73</v>
      </c>
      <c r="G17" s="71">
        <f t="shared" ref="G17:J17" si="24">AVERAGE(O17,S17,W17)</f>
        <v>85.88</v>
      </c>
      <c r="H17" s="71">
        <f t="shared" si="24"/>
        <v>99.386666666666656</v>
      </c>
      <c r="I17" s="71">
        <f t="shared" si="24"/>
        <v>90.783333333333346</v>
      </c>
      <c r="J17" s="72">
        <f t="shared" si="24"/>
        <v>99.703333333333333</v>
      </c>
      <c r="K17" s="71">
        <f t="shared" ref="K17:N17" si="25">STDEV(O17,S17,W17)</f>
        <v>7.0000000000000284E-2</v>
      </c>
      <c r="L17" s="71">
        <f t="shared" si="25"/>
        <v>2.0816659994658326E-2</v>
      </c>
      <c r="M17" s="71">
        <f t="shared" si="25"/>
        <v>0.26312227829154416</v>
      </c>
      <c r="N17" s="72">
        <f t="shared" si="25"/>
        <v>4.1633319989322334E-2</v>
      </c>
      <c r="O17" s="78">
        <v>85.88</v>
      </c>
      <c r="P17" s="78">
        <v>99.38</v>
      </c>
      <c r="Q17" s="78">
        <v>90.95</v>
      </c>
      <c r="R17" s="79">
        <v>99.75</v>
      </c>
      <c r="S17" s="81">
        <v>85.95</v>
      </c>
      <c r="T17" s="81">
        <v>99.37</v>
      </c>
      <c r="U17" s="81">
        <v>90.48</v>
      </c>
      <c r="V17" s="82">
        <v>99.69</v>
      </c>
      <c r="W17" s="81">
        <v>85.81</v>
      </c>
      <c r="X17" s="81">
        <v>99.41</v>
      </c>
      <c r="Y17" s="81">
        <v>90.92</v>
      </c>
      <c r="Z17" s="81">
        <v>99.67</v>
      </c>
    </row>
    <row r="18" spans="1:26">
      <c r="A18" s="342"/>
      <c r="B18" s="77">
        <v>14</v>
      </c>
      <c r="C18" s="70" t="s">
        <v>72</v>
      </c>
      <c r="D18" s="70" t="s">
        <v>75</v>
      </c>
      <c r="E18" s="70" t="s">
        <v>80</v>
      </c>
      <c r="F18" s="70" t="s">
        <v>75</v>
      </c>
      <c r="G18" s="71">
        <f t="shared" ref="G18:J18" si="26">AVERAGE(O18,S18,W18)</f>
        <v>13.290000000000001</v>
      </c>
      <c r="H18" s="71">
        <f t="shared" si="26"/>
        <v>61.99666666666667</v>
      </c>
      <c r="I18" s="71">
        <f t="shared" si="26"/>
        <v>21.743333333333336</v>
      </c>
      <c r="J18" s="72">
        <f t="shared" si="26"/>
        <v>56.886666666666663</v>
      </c>
      <c r="K18" s="71">
        <f t="shared" ref="K18:N18" si="27">STDEV(O18,S18,W18)</f>
        <v>0.49112116631234737</v>
      </c>
      <c r="L18" s="71">
        <f t="shared" si="27"/>
        <v>6.3509789271681054</v>
      </c>
      <c r="M18" s="71">
        <f t="shared" si="27"/>
        <v>9.2453790259422757</v>
      </c>
      <c r="N18" s="72">
        <f t="shared" si="27"/>
        <v>6.272115538901792</v>
      </c>
      <c r="O18" s="78">
        <v>13.41</v>
      </c>
      <c r="P18" s="78">
        <v>69.33</v>
      </c>
      <c r="Q18" s="78">
        <v>30.94</v>
      </c>
      <c r="R18" s="79">
        <v>63.62</v>
      </c>
      <c r="S18" s="81">
        <v>12.75</v>
      </c>
      <c r="T18" s="81">
        <v>58.29</v>
      </c>
      <c r="U18" s="81">
        <v>12.45</v>
      </c>
      <c r="V18" s="82">
        <v>51.21</v>
      </c>
      <c r="W18" s="81">
        <v>13.71</v>
      </c>
      <c r="X18" s="81">
        <v>58.37</v>
      </c>
      <c r="Y18" s="81">
        <v>21.84</v>
      </c>
      <c r="Z18" s="81">
        <v>55.83</v>
      </c>
    </row>
    <row r="19" spans="1:26">
      <c r="A19" s="342"/>
      <c r="B19" s="77">
        <v>15</v>
      </c>
      <c r="C19" s="70" t="s">
        <v>78</v>
      </c>
      <c r="D19" s="70" t="s">
        <v>73</v>
      </c>
      <c r="E19" s="70" t="s">
        <v>80</v>
      </c>
      <c r="F19" s="70" t="s">
        <v>73</v>
      </c>
      <c r="G19" s="71">
        <f t="shared" ref="G19:J19" si="28">AVERAGE(O19,S19,W19)</f>
        <v>85.883333333333326</v>
      </c>
      <c r="H19" s="71">
        <f t="shared" si="28"/>
        <v>99.373333333333335</v>
      </c>
      <c r="I19" s="71">
        <f t="shared" si="28"/>
        <v>90.893333333333317</v>
      </c>
      <c r="J19" s="72">
        <f t="shared" si="28"/>
        <v>99.696666666666673</v>
      </c>
      <c r="K19" s="71">
        <f t="shared" ref="K19:N19" si="29">STDEV(O19,S19,W19)</f>
        <v>0.10408329997330869</v>
      </c>
      <c r="L19" s="71">
        <f t="shared" si="29"/>
        <v>1.1547005383790217E-2</v>
      </c>
      <c r="M19" s="71">
        <f t="shared" si="29"/>
        <v>0.10598742063722777</v>
      </c>
      <c r="N19" s="72">
        <f t="shared" si="29"/>
        <v>2.0816659994658326E-2</v>
      </c>
      <c r="O19" s="78">
        <v>86</v>
      </c>
      <c r="P19" s="78">
        <v>99.38</v>
      </c>
      <c r="Q19" s="78">
        <v>90.99</v>
      </c>
      <c r="R19" s="79">
        <v>99.68</v>
      </c>
      <c r="S19" s="81">
        <v>85.8</v>
      </c>
      <c r="T19" s="81">
        <v>99.38</v>
      </c>
      <c r="U19" s="81">
        <v>90.91</v>
      </c>
      <c r="V19" s="82">
        <v>99.69</v>
      </c>
      <c r="W19" s="81">
        <v>85.85</v>
      </c>
      <c r="X19" s="81">
        <v>99.36</v>
      </c>
      <c r="Y19" s="81">
        <v>90.78</v>
      </c>
      <c r="Z19" s="81">
        <v>99.72</v>
      </c>
    </row>
    <row r="20" spans="1:26">
      <c r="A20" s="342"/>
      <c r="B20" s="77">
        <v>16</v>
      </c>
      <c r="C20" s="70" t="s">
        <v>78</v>
      </c>
      <c r="D20" s="70" t="s">
        <v>75</v>
      </c>
      <c r="E20" s="70" t="s">
        <v>80</v>
      </c>
      <c r="F20" s="70" t="s">
        <v>75</v>
      </c>
      <c r="G20" s="71">
        <f t="shared" ref="G20:J20" si="30">AVERAGE(O20,S20,W20)</f>
        <v>55.363333333333323</v>
      </c>
      <c r="H20" s="71">
        <f t="shared" si="30"/>
        <v>88.926666666666662</v>
      </c>
      <c r="I20" s="71">
        <f t="shared" si="30"/>
        <v>15.763333333333334</v>
      </c>
      <c r="J20" s="72">
        <f t="shared" si="30"/>
        <v>51.493333333333332</v>
      </c>
      <c r="K20" s="71">
        <f t="shared" ref="K20:N20" si="31">STDEV(O20,S20,W20)</f>
        <v>2.8722349021856348</v>
      </c>
      <c r="L20" s="71">
        <f t="shared" si="31"/>
        <v>6.9737675135706452</v>
      </c>
      <c r="M20" s="71">
        <f t="shared" si="31"/>
        <v>2.0600323622053498</v>
      </c>
      <c r="N20" s="72">
        <f t="shared" si="31"/>
        <v>1.4807205453201948</v>
      </c>
      <c r="O20" s="78">
        <v>57.83</v>
      </c>
      <c r="P20" s="78">
        <v>94.35</v>
      </c>
      <c r="Q20" s="78">
        <v>17.829999999999998</v>
      </c>
      <c r="R20" s="79">
        <v>53</v>
      </c>
      <c r="S20" s="88">
        <v>52.21</v>
      </c>
      <c r="T20" s="81">
        <v>81.06</v>
      </c>
      <c r="U20" s="81">
        <v>15.75</v>
      </c>
      <c r="V20" s="82">
        <v>50.04</v>
      </c>
      <c r="W20" s="81">
        <v>56.05</v>
      </c>
      <c r="X20" s="81">
        <v>91.37</v>
      </c>
      <c r="Y20" s="81">
        <v>13.71</v>
      </c>
      <c r="Z20" s="81">
        <v>51.44</v>
      </c>
    </row>
    <row r="21" spans="1:26">
      <c r="A21" s="342"/>
      <c r="B21" s="77">
        <v>17</v>
      </c>
      <c r="C21" s="70" t="s">
        <v>78</v>
      </c>
      <c r="D21" s="70" t="s">
        <v>73</v>
      </c>
      <c r="E21" s="70" t="s">
        <v>80</v>
      </c>
      <c r="F21" s="70" t="s">
        <v>75</v>
      </c>
      <c r="G21" s="71">
        <f t="shared" ref="G21:J21" si="32">AVERAGE(O21,S21,W21)</f>
        <v>72.75</v>
      </c>
      <c r="H21" s="71">
        <f t="shared" si="32"/>
        <v>96.716666666666654</v>
      </c>
      <c r="I21" s="71">
        <f t="shared" si="32"/>
        <v>88.163333333333341</v>
      </c>
      <c r="J21" s="72">
        <f t="shared" si="32"/>
        <v>99.25333333333333</v>
      </c>
      <c r="K21" s="71">
        <f t="shared" ref="K21:N21" si="33">STDEV(O21,S21,W21)</f>
        <v>0.52430906915673237</v>
      </c>
      <c r="L21" s="71">
        <f t="shared" si="33"/>
        <v>0.11060440015358043</v>
      </c>
      <c r="M21" s="71">
        <f t="shared" si="33"/>
        <v>0.38552993831002291</v>
      </c>
      <c r="N21" s="72">
        <f t="shared" si="33"/>
        <v>0.12013880860627202</v>
      </c>
      <c r="O21" s="78">
        <v>72.98</v>
      </c>
      <c r="P21" s="78">
        <v>96.73</v>
      </c>
      <c r="Q21" s="78">
        <v>87.87</v>
      </c>
      <c r="R21" s="79">
        <v>99.13</v>
      </c>
      <c r="S21" s="81">
        <v>72.150000000000006</v>
      </c>
      <c r="T21" s="81">
        <v>96.6</v>
      </c>
      <c r="U21" s="81">
        <v>88.6</v>
      </c>
      <c r="V21" s="82">
        <v>99.37</v>
      </c>
      <c r="W21" s="81">
        <v>73.12</v>
      </c>
      <c r="X21" s="81">
        <v>96.82</v>
      </c>
      <c r="Y21" s="81">
        <v>88.02</v>
      </c>
      <c r="Z21" s="81">
        <v>99.26</v>
      </c>
    </row>
    <row r="22" spans="1:26">
      <c r="A22" s="342"/>
      <c r="B22" s="77">
        <v>18</v>
      </c>
      <c r="C22" s="70" t="s">
        <v>78</v>
      </c>
      <c r="D22" s="70" t="s">
        <v>75</v>
      </c>
      <c r="E22" s="70" t="s">
        <v>80</v>
      </c>
      <c r="F22" s="91" t="s">
        <v>73</v>
      </c>
      <c r="G22" s="71">
        <f t="shared" ref="G22:J22" si="34">AVERAGE(O22,S22,W22)</f>
        <v>84.773333333333326</v>
      </c>
      <c r="H22" s="71">
        <f t="shared" si="34"/>
        <v>99.183333333333337</v>
      </c>
      <c r="I22" s="71">
        <f t="shared" si="34"/>
        <v>87.033333333333346</v>
      </c>
      <c r="J22" s="72">
        <f t="shared" si="34"/>
        <v>99.373333333333335</v>
      </c>
      <c r="K22" s="71">
        <f t="shared" ref="K22:N22" si="35">STDEV(O22,S22,W22)</f>
        <v>0.62692370615038395</v>
      </c>
      <c r="L22" s="71">
        <f t="shared" si="35"/>
        <v>3.5118845842838843E-2</v>
      </c>
      <c r="M22" s="71">
        <f t="shared" si="35"/>
        <v>0.17009801096230334</v>
      </c>
      <c r="N22" s="72">
        <f t="shared" si="35"/>
        <v>4.9328828623166586E-2</v>
      </c>
      <c r="O22" s="78">
        <v>85.37</v>
      </c>
      <c r="P22" s="78">
        <v>99.18</v>
      </c>
      <c r="Q22" s="78">
        <v>86.84</v>
      </c>
      <c r="R22" s="79">
        <v>99.34</v>
      </c>
      <c r="S22" s="81">
        <v>84.83</v>
      </c>
      <c r="T22" s="81">
        <v>99.22</v>
      </c>
      <c r="U22" s="81">
        <v>87.16</v>
      </c>
      <c r="V22" s="82">
        <v>99.43</v>
      </c>
      <c r="W22" s="81">
        <v>84.12</v>
      </c>
      <c r="X22" s="81">
        <v>99.15</v>
      </c>
      <c r="Y22" s="81">
        <v>87.1</v>
      </c>
      <c r="Z22" s="81">
        <v>99.35</v>
      </c>
    </row>
    <row r="23" spans="1:26">
      <c r="A23" s="424" t="s">
        <v>82</v>
      </c>
      <c r="B23" s="92">
        <v>1</v>
      </c>
      <c r="C23" s="93" t="s">
        <v>72</v>
      </c>
      <c r="D23" s="93" t="s">
        <v>73</v>
      </c>
      <c r="E23" s="93" t="s">
        <v>74</v>
      </c>
      <c r="F23" s="94" t="s">
        <v>73</v>
      </c>
      <c r="G23" s="71">
        <f t="shared" ref="G23:J23" si="36">AVERAGE(O23,S23,W23)</f>
        <v>87.219999999999985</v>
      </c>
      <c r="H23" s="71">
        <f t="shared" si="36"/>
        <v>99.536666666666676</v>
      </c>
      <c r="I23" s="71">
        <f t="shared" si="36"/>
        <v>91.55</v>
      </c>
      <c r="J23" s="72">
        <f t="shared" si="36"/>
        <v>99.796666666666667</v>
      </c>
      <c r="K23" s="71">
        <f t="shared" ref="K23:N23" si="37">STDEV(O23,S23,W23)</f>
        <v>6.9999999999998258E-2</v>
      </c>
      <c r="L23" s="71">
        <f t="shared" si="37"/>
        <v>2.0816659994664012E-2</v>
      </c>
      <c r="M23" s="71">
        <f t="shared" si="37"/>
        <v>7.9372539331940717E-2</v>
      </c>
      <c r="N23" s="72">
        <f t="shared" si="37"/>
        <v>1.1547005383790217E-2</v>
      </c>
      <c r="O23" s="71">
        <v>87.14</v>
      </c>
      <c r="P23" s="71">
        <v>99.52</v>
      </c>
      <c r="Q23" s="71">
        <v>91.52</v>
      </c>
      <c r="R23" s="72">
        <v>99.79</v>
      </c>
      <c r="S23" s="74">
        <v>87.27</v>
      </c>
      <c r="T23" s="74">
        <v>99.53</v>
      </c>
      <c r="U23" s="74">
        <v>91.64</v>
      </c>
      <c r="V23" s="75">
        <v>99.79</v>
      </c>
      <c r="W23" s="74">
        <v>87.25</v>
      </c>
      <c r="X23" s="74">
        <v>99.56</v>
      </c>
      <c r="Y23" s="74">
        <v>91.49</v>
      </c>
      <c r="Z23" s="74">
        <v>99.81</v>
      </c>
    </row>
    <row r="24" spans="1:26">
      <c r="A24" s="342"/>
      <c r="B24" s="95">
        <v>2</v>
      </c>
      <c r="C24" s="94" t="s">
        <v>72</v>
      </c>
      <c r="D24" s="94" t="s">
        <v>75</v>
      </c>
      <c r="E24" s="94" t="s">
        <v>74</v>
      </c>
      <c r="F24" s="94" t="s">
        <v>75</v>
      </c>
      <c r="G24" s="71">
        <f t="shared" ref="G24:J24" si="38">AVERAGE(O24,S24,W24)</f>
        <v>20.623333333333335</v>
      </c>
      <c r="H24" s="71">
        <f t="shared" si="38"/>
        <v>73.236666666666665</v>
      </c>
      <c r="I24" s="71">
        <f t="shared" si="38"/>
        <v>12.530000000000001</v>
      </c>
      <c r="J24" s="72">
        <f t="shared" si="38"/>
        <v>56.916666666666664</v>
      </c>
      <c r="K24" s="71">
        <f t="shared" ref="K24:N24" si="39">STDEV(O24,S24,W24)</f>
        <v>9.8657657246324887E-2</v>
      </c>
      <c r="L24" s="71">
        <f t="shared" si="39"/>
        <v>0.11676186592091563</v>
      </c>
      <c r="M24" s="71">
        <f t="shared" si="39"/>
        <v>0.7142128534267641</v>
      </c>
      <c r="N24" s="72">
        <f t="shared" si="39"/>
        <v>0.78136632467321798</v>
      </c>
      <c r="O24" s="78">
        <v>20.69</v>
      </c>
      <c r="P24" s="78">
        <v>73.11</v>
      </c>
      <c r="Q24" s="78">
        <v>11.74</v>
      </c>
      <c r="R24" s="79">
        <v>56.07</v>
      </c>
      <c r="S24" s="81">
        <v>20.51</v>
      </c>
      <c r="T24" s="81">
        <v>73.34</v>
      </c>
      <c r="U24" s="81">
        <v>12.72</v>
      </c>
      <c r="V24" s="82">
        <v>57.61</v>
      </c>
      <c r="W24" s="81">
        <v>20.67</v>
      </c>
      <c r="X24" s="81">
        <v>73.260000000000005</v>
      </c>
      <c r="Y24" s="81">
        <v>13.13</v>
      </c>
      <c r="Z24" s="81">
        <v>57.07</v>
      </c>
    </row>
    <row r="25" spans="1:26">
      <c r="A25" s="342"/>
      <c r="B25" s="95">
        <v>3</v>
      </c>
      <c r="C25" s="94" t="s">
        <v>72</v>
      </c>
      <c r="D25" s="94" t="s">
        <v>73</v>
      </c>
      <c r="E25" s="94" t="s">
        <v>74</v>
      </c>
      <c r="F25" s="94" t="s">
        <v>75</v>
      </c>
      <c r="G25" s="71">
        <f t="shared" ref="G25:J25" si="40">AVERAGE(O25,S25,W25)</f>
        <v>20.806666666666668</v>
      </c>
      <c r="H25" s="71">
        <f t="shared" si="40"/>
        <v>73.223333333333315</v>
      </c>
      <c r="I25" s="71">
        <f t="shared" si="40"/>
        <v>13.649999999999999</v>
      </c>
      <c r="J25" s="72">
        <f t="shared" si="40"/>
        <v>58.673333333333325</v>
      </c>
      <c r="K25" s="71">
        <f t="shared" ref="K25:N25" si="41">STDEV(O25,S25,W25)</f>
        <v>2.0816659994660598E-2</v>
      </c>
      <c r="L25" s="71">
        <f t="shared" si="41"/>
        <v>0.17616280348965074</v>
      </c>
      <c r="M25" s="71">
        <f t="shared" si="41"/>
        <v>0.37242448899072067</v>
      </c>
      <c r="N25" s="72">
        <f t="shared" si="41"/>
        <v>0.21939310229205516</v>
      </c>
      <c r="O25" s="83">
        <v>20.83</v>
      </c>
      <c r="P25" s="83">
        <v>73.319999999999993</v>
      </c>
      <c r="Q25" s="83">
        <v>13.87</v>
      </c>
      <c r="R25" s="84">
        <v>58.8</v>
      </c>
      <c r="S25" s="83">
        <v>20.79</v>
      </c>
      <c r="T25" s="83">
        <v>73.33</v>
      </c>
      <c r="U25" s="83">
        <v>13.86</v>
      </c>
      <c r="V25" s="84">
        <v>58.42</v>
      </c>
      <c r="W25" s="83">
        <v>20.8</v>
      </c>
      <c r="X25" s="83">
        <v>73.02</v>
      </c>
      <c r="Y25" s="83">
        <v>13.22</v>
      </c>
      <c r="Z25" s="83">
        <v>58.8</v>
      </c>
    </row>
    <row r="26" spans="1:26">
      <c r="A26" s="342"/>
      <c r="B26" s="95">
        <v>4</v>
      </c>
      <c r="C26" s="94" t="s">
        <v>72</v>
      </c>
      <c r="D26" s="94" t="s">
        <v>75</v>
      </c>
      <c r="E26" s="94" t="s">
        <v>74</v>
      </c>
      <c r="F26" s="94" t="s">
        <v>73</v>
      </c>
      <c r="G26" s="71">
        <f t="shared" ref="G26:J26" si="42">AVERAGE(O26,S26,W26)</f>
        <v>87.356666666666669</v>
      </c>
      <c r="H26" s="71">
        <f t="shared" si="42"/>
        <v>99.56</v>
      </c>
      <c r="I26" s="71">
        <f t="shared" si="42"/>
        <v>88.193333333333342</v>
      </c>
      <c r="J26" s="72">
        <f t="shared" si="42"/>
        <v>99.146666666666661</v>
      </c>
      <c r="K26" s="71">
        <f t="shared" ref="K26:N26" si="43">STDEV(O26,S26,W26)</f>
        <v>2.516611478423459E-2</v>
      </c>
      <c r="L26" s="71">
        <f t="shared" si="43"/>
        <v>1.9999999999996021E-2</v>
      </c>
      <c r="M26" s="71">
        <f t="shared" si="43"/>
        <v>2.8282562354449623</v>
      </c>
      <c r="N26" s="72">
        <f t="shared" si="43"/>
        <v>0.58483615939280886</v>
      </c>
      <c r="O26" s="83">
        <v>87.36</v>
      </c>
      <c r="P26" s="83">
        <v>99.58</v>
      </c>
      <c r="Q26" s="83">
        <v>85.89</v>
      </c>
      <c r="R26" s="84">
        <v>98.61</v>
      </c>
      <c r="S26" s="83">
        <v>87.33</v>
      </c>
      <c r="T26" s="83">
        <v>99.56</v>
      </c>
      <c r="U26" s="83">
        <v>87.34</v>
      </c>
      <c r="V26" s="84">
        <v>99.06</v>
      </c>
      <c r="W26" s="83">
        <v>87.38</v>
      </c>
      <c r="X26" s="83">
        <v>99.54</v>
      </c>
      <c r="Y26" s="83">
        <v>91.35</v>
      </c>
      <c r="Z26" s="83">
        <v>99.77</v>
      </c>
    </row>
    <row r="27" spans="1:26">
      <c r="A27" s="342"/>
      <c r="B27" s="95">
        <v>5</v>
      </c>
      <c r="C27" s="94" t="s">
        <v>77</v>
      </c>
      <c r="D27" s="94" t="s">
        <v>73</v>
      </c>
      <c r="E27" s="94" t="s">
        <v>74</v>
      </c>
      <c r="F27" s="94" t="s">
        <v>73</v>
      </c>
      <c r="G27" s="71">
        <f t="shared" ref="G27:J27" si="44">AVERAGE(O27,S27,W27)</f>
        <v>86.706666666666663</v>
      </c>
      <c r="H27" s="71">
        <f t="shared" si="44"/>
        <v>99.50333333333333</v>
      </c>
      <c r="I27" s="71">
        <f t="shared" si="44"/>
        <v>91.813333333333333</v>
      </c>
      <c r="J27" s="72">
        <f t="shared" si="44"/>
        <v>99.75</v>
      </c>
      <c r="K27" s="71">
        <f t="shared" ref="K27:N27" si="45">STDEV(O27,S27,W27)</f>
        <v>6.6583281184792426E-2</v>
      </c>
      <c r="L27" s="71">
        <f t="shared" si="45"/>
        <v>2.0816659994658326E-2</v>
      </c>
      <c r="M27" s="71">
        <f t="shared" si="45"/>
        <v>8.0829037686547936E-2</v>
      </c>
      <c r="N27" s="72">
        <f t="shared" si="45"/>
        <v>5.2915026221294716E-2</v>
      </c>
      <c r="O27" s="78">
        <v>86.65</v>
      </c>
      <c r="P27" s="78">
        <v>99.51</v>
      </c>
      <c r="Q27" s="78">
        <v>91.86</v>
      </c>
      <c r="R27" s="79">
        <v>99.71</v>
      </c>
      <c r="S27" s="81">
        <v>86.69</v>
      </c>
      <c r="T27" s="81">
        <v>99.52</v>
      </c>
      <c r="U27" s="81">
        <v>91.72</v>
      </c>
      <c r="V27" s="82">
        <v>99.81</v>
      </c>
      <c r="W27" s="81">
        <v>86.78</v>
      </c>
      <c r="X27" s="81">
        <v>99.48</v>
      </c>
      <c r="Y27" s="81">
        <v>91.86</v>
      </c>
      <c r="Z27" s="81">
        <v>99.73</v>
      </c>
    </row>
    <row r="28" spans="1:26">
      <c r="A28" s="342"/>
      <c r="B28" s="95">
        <v>6</v>
      </c>
      <c r="C28" s="94" t="s">
        <v>77</v>
      </c>
      <c r="D28" s="94" t="s">
        <v>75</v>
      </c>
      <c r="E28" s="94" t="s">
        <v>74</v>
      </c>
      <c r="F28" s="94" t="s">
        <v>75</v>
      </c>
      <c r="G28" s="71">
        <f t="shared" ref="G28:J28" si="46">AVERAGE(O28,S28,W28)</f>
        <v>76.2</v>
      </c>
      <c r="H28" s="71">
        <f t="shared" si="46"/>
        <v>97.633333333333326</v>
      </c>
      <c r="I28" s="71">
        <f t="shared" si="46"/>
        <v>81.17</v>
      </c>
      <c r="J28" s="72">
        <f t="shared" si="46"/>
        <v>98.149999999999991</v>
      </c>
      <c r="K28" s="71">
        <f t="shared" ref="K28:N28" si="47">STDEV(O28,S28,W28)</f>
        <v>0.48507731342540261</v>
      </c>
      <c r="L28" s="71">
        <f t="shared" si="47"/>
        <v>0.23459184413216966</v>
      </c>
      <c r="M28" s="71">
        <f t="shared" si="47"/>
        <v>3.0000000000001137E-2</v>
      </c>
      <c r="N28" s="72">
        <f t="shared" si="47"/>
        <v>3.6055512754636664E-2</v>
      </c>
      <c r="O28" s="78">
        <v>75.709999999999994</v>
      </c>
      <c r="P28" s="78">
        <v>97.43</v>
      </c>
      <c r="Q28" s="78">
        <v>81.2</v>
      </c>
      <c r="R28" s="79">
        <v>98.12</v>
      </c>
      <c r="S28" s="81">
        <v>76.209999999999994</v>
      </c>
      <c r="T28" s="81">
        <v>97.58</v>
      </c>
      <c r="U28" s="81">
        <v>81.17</v>
      </c>
      <c r="V28" s="82">
        <v>98.19</v>
      </c>
      <c r="W28" s="81">
        <v>76.680000000000007</v>
      </c>
      <c r="X28" s="81">
        <v>97.89</v>
      </c>
      <c r="Y28" s="81">
        <v>81.14</v>
      </c>
      <c r="Z28" s="81">
        <v>98.14</v>
      </c>
    </row>
    <row r="29" spans="1:26">
      <c r="A29" s="342"/>
      <c r="B29" s="95">
        <v>7</v>
      </c>
      <c r="C29" s="94" t="s">
        <v>77</v>
      </c>
      <c r="D29" s="94" t="s">
        <v>73</v>
      </c>
      <c r="E29" s="94" t="s">
        <v>74</v>
      </c>
      <c r="F29" s="94" t="s">
        <v>75</v>
      </c>
      <c r="G29" s="71">
        <f t="shared" ref="G29:J29" si="48">AVERAGE(O29,S29,W29)</f>
        <v>76.546666666666667</v>
      </c>
      <c r="H29" s="71">
        <f t="shared" si="48"/>
        <v>97.756666666666661</v>
      </c>
      <c r="I29" s="71">
        <f t="shared" si="48"/>
        <v>82.486666666666665</v>
      </c>
      <c r="J29" s="72">
        <f t="shared" si="48"/>
        <v>98.493333333333339</v>
      </c>
      <c r="K29" s="71">
        <f t="shared" ref="K29:N29" si="49">STDEV(O29,S29,W29)</f>
        <v>8.6216781042517787E-2</v>
      </c>
      <c r="L29" s="71">
        <f t="shared" si="49"/>
        <v>2.0816659994664012E-2</v>
      </c>
      <c r="M29" s="71">
        <f t="shared" si="49"/>
        <v>0.2050203241957553</v>
      </c>
      <c r="N29" s="72">
        <f t="shared" si="49"/>
        <v>4.9328828623163228E-2</v>
      </c>
      <c r="O29" s="83">
        <v>76.53</v>
      </c>
      <c r="P29" s="83">
        <v>97.78</v>
      </c>
      <c r="Q29" s="83">
        <v>82.69</v>
      </c>
      <c r="R29" s="84">
        <v>98.46</v>
      </c>
      <c r="S29" s="83">
        <v>76.64</v>
      </c>
      <c r="T29" s="83">
        <v>97.74</v>
      </c>
      <c r="U29" s="83">
        <v>82.28</v>
      </c>
      <c r="V29" s="84">
        <v>98.47</v>
      </c>
      <c r="W29" s="83">
        <v>76.47</v>
      </c>
      <c r="X29" s="83">
        <v>97.75</v>
      </c>
      <c r="Y29" s="83">
        <v>82.49</v>
      </c>
      <c r="Z29" s="83">
        <v>98.55</v>
      </c>
    </row>
    <row r="30" spans="1:26">
      <c r="A30" s="342"/>
      <c r="B30" s="95">
        <v>8</v>
      </c>
      <c r="C30" s="94" t="s">
        <v>77</v>
      </c>
      <c r="D30" s="94" t="s">
        <v>75</v>
      </c>
      <c r="E30" s="94" t="s">
        <v>74</v>
      </c>
      <c r="F30" s="94" t="s">
        <v>73</v>
      </c>
      <c r="G30" s="71">
        <f t="shared" ref="G30:J30" si="50">AVERAGE(O30,S30,W30)</f>
        <v>86.456666666666663</v>
      </c>
      <c r="H30" s="71">
        <f t="shared" si="50"/>
        <v>99.493333333333339</v>
      </c>
      <c r="I30" s="71">
        <f t="shared" si="50"/>
        <v>86.106666666666683</v>
      </c>
      <c r="J30" s="72">
        <f t="shared" si="50"/>
        <v>98.84666666666665</v>
      </c>
      <c r="K30" s="71">
        <f t="shared" ref="K30:N30" si="51">STDEV(O30,S30,W30)</f>
        <v>6.8068592855545701E-2</v>
      </c>
      <c r="L30" s="71">
        <f t="shared" si="51"/>
        <v>2.0816659994664012E-2</v>
      </c>
      <c r="M30" s="71">
        <f t="shared" si="51"/>
        <v>0.25813433195399127</v>
      </c>
      <c r="N30" s="72">
        <f t="shared" si="51"/>
        <v>5.6862407030772791E-2</v>
      </c>
      <c r="O30" s="83">
        <v>86.38</v>
      </c>
      <c r="P30" s="83">
        <v>99.51</v>
      </c>
      <c r="Q30" s="83">
        <v>85.81</v>
      </c>
      <c r="R30" s="84">
        <v>98.8</v>
      </c>
      <c r="S30" s="83">
        <v>86.51</v>
      </c>
      <c r="T30" s="83">
        <v>99.5</v>
      </c>
      <c r="U30" s="83">
        <v>86.23</v>
      </c>
      <c r="V30" s="84">
        <v>98.83</v>
      </c>
      <c r="W30" s="83">
        <v>86.48</v>
      </c>
      <c r="X30" s="83">
        <v>99.47</v>
      </c>
      <c r="Y30" s="83">
        <v>86.28</v>
      </c>
      <c r="Z30" s="83">
        <v>98.91</v>
      </c>
    </row>
    <row r="31" spans="1:26">
      <c r="A31" s="342"/>
      <c r="B31" s="95">
        <v>9</v>
      </c>
      <c r="C31" s="94" t="s">
        <v>78</v>
      </c>
      <c r="D31" s="94" t="s">
        <v>73</v>
      </c>
      <c r="E31" s="94" t="s">
        <v>74</v>
      </c>
      <c r="F31" s="94" t="s">
        <v>73</v>
      </c>
      <c r="G31" s="71">
        <f t="shared" ref="G31:J31" si="52">AVERAGE(O31,S31,W31)</f>
        <v>87.38</v>
      </c>
      <c r="H31" s="71">
        <f t="shared" si="52"/>
        <v>99.550000000000011</v>
      </c>
      <c r="I31" s="71">
        <f t="shared" si="52"/>
        <v>91.820000000000007</v>
      </c>
      <c r="J31" s="72">
        <f t="shared" si="52"/>
        <v>99.776666666666657</v>
      </c>
      <c r="K31" s="71">
        <f t="shared" ref="K31:N31" si="53">STDEV(O31,S31,W31)</f>
        <v>8.88819441731558E-2</v>
      </c>
      <c r="L31" s="71">
        <f t="shared" si="53"/>
        <v>9.9999999999980105E-3</v>
      </c>
      <c r="M31" s="71">
        <f t="shared" si="53"/>
        <v>0.14730919862656489</v>
      </c>
      <c r="N31" s="72">
        <f t="shared" si="53"/>
        <v>2.516611478423459E-2</v>
      </c>
      <c r="O31" s="78">
        <v>87.28</v>
      </c>
      <c r="P31" s="78">
        <v>99.55</v>
      </c>
      <c r="Q31" s="78">
        <v>91.79</v>
      </c>
      <c r="R31" s="79">
        <v>99.75</v>
      </c>
      <c r="S31" s="81">
        <v>87.45</v>
      </c>
      <c r="T31" s="81">
        <v>99.56</v>
      </c>
      <c r="U31" s="81">
        <v>91.98</v>
      </c>
      <c r="V31" s="82">
        <v>99.78</v>
      </c>
      <c r="W31" s="81">
        <v>87.41</v>
      </c>
      <c r="X31" s="81">
        <v>99.54</v>
      </c>
      <c r="Y31" s="81">
        <v>91.69</v>
      </c>
      <c r="Z31" s="81">
        <v>99.8</v>
      </c>
    </row>
    <row r="32" spans="1:26">
      <c r="A32" s="342"/>
      <c r="B32" s="95">
        <v>10</v>
      </c>
      <c r="C32" s="94" t="s">
        <v>78</v>
      </c>
      <c r="D32" s="94" t="s">
        <v>75</v>
      </c>
      <c r="E32" s="94" t="s">
        <v>74</v>
      </c>
      <c r="F32" s="94" t="s">
        <v>75</v>
      </c>
      <c r="G32" s="71">
        <f t="shared" ref="G32:J32" si="54">AVERAGE(O32,S32,W32)</f>
        <v>20.49</v>
      </c>
      <c r="H32" s="71">
        <f t="shared" si="54"/>
        <v>73.063333333333333</v>
      </c>
      <c r="I32" s="71">
        <f t="shared" si="54"/>
        <v>12.116666666666667</v>
      </c>
      <c r="J32" s="72">
        <f t="shared" si="54"/>
        <v>56.883333333333333</v>
      </c>
      <c r="K32" s="71">
        <f t="shared" ref="K32:N32" si="55">STDEV(O32,S32,W32)</f>
        <v>6.0000000000000497E-2</v>
      </c>
      <c r="L32" s="71">
        <f t="shared" si="55"/>
        <v>0.24131583730317618</v>
      </c>
      <c r="M32" s="71">
        <f t="shared" si="55"/>
        <v>0.33080709383768225</v>
      </c>
      <c r="N32" s="72">
        <f t="shared" si="55"/>
        <v>0.43362810487021658</v>
      </c>
      <c r="O32" s="78">
        <v>20.49</v>
      </c>
      <c r="P32" s="78">
        <v>72.86</v>
      </c>
      <c r="Q32" s="78">
        <v>11.74</v>
      </c>
      <c r="R32" s="79">
        <v>56.58</v>
      </c>
      <c r="S32" s="81">
        <v>20.55</v>
      </c>
      <c r="T32" s="81">
        <v>73</v>
      </c>
      <c r="U32" s="81">
        <v>12.36</v>
      </c>
      <c r="V32" s="82">
        <v>56.69</v>
      </c>
      <c r="W32" s="81">
        <v>20.43</v>
      </c>
      <c r="X32" s="81">
        <v>73.33</v>
      </c>
      <c r="Y32" s="81">
        <v>12.25</v>
      </c>
      <c r="Z32" s="81">
        <v>57.38</v>
      </c>
    </row>
    <row r="33" spans="1:26">
      <c r="A33" s="342"/>
      <c r="B33" s="95">
        <v>11</v>
      </c>
      <c r="C33" s="94" t="s">
        <v>78</v>
      </c>
      <c r="D33" s="94" t="s">
        <v>73</v>
      </c>
      <c r="E33" s="94" t="s">
        <v>74</v>
      </c>
      <c r="F33" s="94" t="s">
        <v>75</v>
      </c>
      <c r="G33" s="71">
        <f t="shared" ref="G33:J33" si="56">AVERAGE(O33,S33,W33)</f>
        <v>20.570000000000004</v>
      </c>
      <c r="H33" s="71">
        <f t="shared" si="56"/>
        <v>73.410000000000011</v>
      </c>
      <c r="I33" s="71">
        <f t="shared" si="56"/>
        <v>12.886666666666665</v>
      </c>
      <c r="J33" s="72">
        <f t="shared" si="56"/>
        <v>58.303333333333335</v>
      </c>
      <c r="K33" s="71">
        <f t="shared" ref="K33:N33" si="57">STDEV(O33,S33,W33)</f>
        <v>5.9999999999998721E-2</v>
      </c>
      <c r="L33" s="71">
        <f t="shared" si="57"/>
        <v>0.14525839046333555</v>
      </c>
      <c r="M33" s="71">
        <f t="shared" si="57"/>
        <v>0.71451615330469131</v>
      </c>
      <c r="N33" s="72">
        <f t="shared" si="57"/>
        <v>0.3043572462310245</v>
      </c>
      <c r="O33" s="78">
        <v>20.63</v>
      </c>
      <c r="P33" s="78">
        <v>73.260000000000005</v>
      </c>
      <c r="Q33" s="78">
        <v>12.36</v>
      </c>
      <c r="R33" s="79">
        <v>58.41</v>
      </c>
      <c r="S33" s="81">
        <v>20.57</v>
      </c>
      <c r="T33" s="81">
        <v>73.42</v>
      </c>
      <c r="U33" s="81">
        <v>13.7</v>
      </c>
      <c r="V33" s="82">
        <v>57.96</v>
      </c>
      <c r="W33" s="81">
        <v>20.51</v>
      </c>
      <c r="X33" s="81">
        <v>73.55</v>
      </c>
      <c r="Y33" s="81">
        <v>12.6</v>
      </c>
      <c r="Z33" s="81">
        <v>58.54</v>
      </c>
    </row>
    <row r="34" spans="1:26">
      <c r="A34" s="342"/>
      <c r="B34" s="95">
        <v>12</v>
      </c>
      <c r="C34" s="94" t="s">
        <v>78</v>
      </c>
      <c r="D34" s="94" t="s">
        <v>75</v>
      </c>
      <c r="E34" s="94" t="s">
        <v>74</v>
      </c>
      <c r="F34" s="94" t="s">
        <v>73</v>
      </c>
      <c r="G34" s="71">
        <f t="shared" ref="G34:J34" si="58">AVERAGE(O34,S34,W34)</f>
        <v>87.40333333333335</v>
      </c>
      <c r="H34" s="71">
        <f t="shared" si="58"/>
        <v>99.546666666666667</v>
      </c>
      <c r="I34" s="71">
        <f t="shared" si="58"/>
        <v>84.58</v>
      </c>
      <c r="J34" s="72">
        <f t="shared" si="58"/>
        <v>98.38666666666667</v>
      </c>
      <c r="K34" s="71">
        <f t="shared" ref="K34:N34" si="59">STDEV(O34,S34,W34)</f>
        <v>8.3864970836062772E-2</v>
      </c>
      <c r="L34" s="71">
        <f t="shared" si="59"/>
        <v>5.773502691891007E-3</v>
      </c>
      <c r="M34" s="71">
        <f t="shared" si="59"/>
        <v>0.30413812651491473</v>
      </c>
      <c r="N34" s="72">
        <f t="shared" si="59"/>
        <v>0.14224392195567698</v>
      </c>
      <c r="O34" s="78">
        <v>87.36</v>
      </c>
      <c r="P34" s="78">
        <v>99.55</v>
      </c>
      <c r="Q34" s="78">
        <v>84.38</v>
      </c>
      <c r="R34" s="79">
        <v>98.29</v>
      </c>
      <c r="S34" s="81">
        <v>87.5</v>
      </c>
      <c r="T34" s="81">
        <v>99.54</v>
      </c>
      <c r="U34" s="81">
        <v>84.43</v>
      </c>
      <c r="V34" s="82">
        <v>98.32</v>
      </c>
      <c r="W34" s="81">
        <v>87.35</v>
      </c>
      <c r="X34" s="81">
        <v>99.55</v>
      </c>
      <c r="Y34" s="81">
        <v>84.93</v>
      </c>
      <c r="Z34" s="81">
        <v>98.55</v>
      </c>
    </row>
    <row r="35" spans="1:26">
      <c r="A35" s="342"/>
      <c r="B35" s="95">
        <v>13</v>
      </c>
      <c r="C35" s="94" t="s">
        <v>72</v>
      </c>
      <c r="D35" s="94" t="s">
        <v>73</v>
      </c>
      <c r="E35" s="94" t="s">
        <v>80</v>
      </c>
      <c r="F35" s="94" t="s">
        <v>73</v>
      </c>
      <c r="G35" s="71">
        <f t="shared" ref="G35:J35" si="60">AVERAGE(O35,S35,W35)</f>
        <v>83.653333333333336</v>
      </c>
      <c r="H35" s="71">
        <f t="shared" si="60"/>
        <v>99.186666666666682</v>
      </c>
      <c r="I35" s="71">
        <f t="shared" si="60"/>
        <v>89.850000000000009</v>
      </c>
      <c r="J35" s="72">
        <f t="shared" si="60"/>
        <v>99.61</v>
      </c>
      <c r="K35" s="71">
        <f t="shared" ref="K35:N35" si="61">STDEV(O35,S35,W35)</f>
        <v>6.1101009266079663E-2</v>
      </c>
      <c r="L35" s="71">
        <f t="shared" si="61"/>
        <v>4.0414518843272795E-2</v>
      </c>
      <c r="M35" s="71">
        <f t="shared" si="61"/>
        <v>0.19974984355438116</v>
      </c>
      <c r="N35" s="72">
        <f t="shared" si="61"/>
        <v>5.2915026221294716E-2</v>
      </c>
      <c r="O35" s="78">
        <v>83.6</v>
      </c>
      <c r="P35" s="78">
        <v>99.18</v>
      </c>
      <c r="Q35" s="78">
        <v>89.98</v>
      </c>
      <c r="R35" s="79">
        <v>99.65</v>
      </c>
      <c r="S35" s="81">
        <v>83.64</v>
      </c>
      <c r="T35" s="81">
        <v>99.23</v>
      </c>
      <c r="U35" s="81">
        <v>89.62</v>
      </c>
      <c r="V35" s="82">
        <v>99.55</v>
      </c>
      <c r="W35" s="81">
        <v>83.72</v>
      </c>
      <c r="X35" s="81">
        <v>99.15</v>
      </c>
      <c r="Y35" s="81">
        <v>89.95</v>
      </c>
      <c r="Z35" s="81">
        <v>99.63</v>
      </c>
    </row>
    <row r="36" spans="1:26">
      <c r="A36" s="342"/>
      <c r="B36" s="95">
        <v>14</v>
      </c>
      <c r="C36" s="94" t="s">
        <v>72</v>
      </c>
      <c r="D36" s="94" t="s">
        <v>75</v>
      </c>
      <c r="E36" s="94" t="s">
        <v>80</v>
      </c>
      <c r="F36" s="94" t="s">
        <v>75</v>
      </c>
      <c r="G36" s="71">
        <f t="shared" ref="G36:J36" si="62">AVERAGE(O36,S36,W36)</f>
        <v>13.163333333333332</v>
      </c>
      <c r="H36" s="71">
        <f t="shared" si="62"/>
        <v>54.20333333333334</v>
      </c>
      <c r="I36" s="71">
        <f t="shared" si="62"/>
        <v>11.993333333333332</v>
      </c>
      <c r="J36" s="72">
        <f t="shared" si="62"/>
        <v>53.169999999999995</v>
      </c>
      <c r="K36" s="71">
        <f t="shared" ref="K36:N36" si="63">STDEV(O36,S36,W36)</f>
        <v>5.4790540546095494</v>
      </c>
      <c r="L36" s="71">
        <f t="shared" si="63"/>
        <v>3.7270408279670533</v>
      </c>
      <c r="M36" s="71">
        <f t="shared" si="63"/>
        <v>2.132142897024818</v>
      </c>
      <c r="N36" s="72">
        <f t="shared" si="63"/>
        <v>5.2201532544552753</v>
      </c>
      <c r="O36" s="78">
        <v>19.489999999999998</v>
      </c>
      <c r="P36" s="78">
        <v>57.52</v>
      </c>
      <c r="Q36" s="78">
        <v>14.43</v>
      </c>
      <c r="R36" s="79">
        <v>56.67</v>
      </c>
      <c r="S36" s="81">
        <v>10</v>
      </c>
      <c r="T36" s="81">
        <v>54.92</v>
      </c>
      <c r="U36" s="81">
        <v>10.47</v>
      </c>
      <c r="V36" s="82">
        <v>47.17</v>
      </c>
      <c r="W36" s="81">
        <v>10</v>
      </c>
      <c r="X36" s="81">
        <v>50.17</v>
      </c>
      <c r="Y36" s="81">
        <v>11.08</v>
      </c>
      <c r="Z36" s="81">
        <v>55.67</v>
      </c>
    </row>
    <row r="37" spans="1:26">
      <c r="A37" s="342"/>
      <c r="B37" s="95">
        <v>15</v>
      </c>
      <c r="C37" s="94" t="s">
        <v>78</v>
      </c>
      <c r="D37" s="94" t="s">
        <v>73</v>
      </c>
      <c r="E37" s="94" t="s">
        <v>80</v>
      </c>
      <c r="F37" s="94" t="s">
        <v>73</v>
      </c>
      <c r="G37" s="71">
        <f t="shared" ref="G37:J37" si="64">AVERAGE(O37,S37,W37)</f>
        <v>83.493333333333339</v>
      </c>
      <c r="H37" s="71">
        <f t="shared" si="64"/>
        <v>99.160000000000011</v>
      </c>
      <c r="I37" s="71">
        <f t="shared" si="64"/>
        <v>90.123333333333335</v>
      </c>
      <c r="J37" s="72">
        <f t="shared" si="64"/>
        <v>99.623333333333335</v>
      </c>
      <c r="K37" s="71">
        <f t="shared" ref="K37:N37" si="65">STDEV(O37,S37,W37)</f>
        <v>2.3094010767580435E-2</v>
      </c>
      <c r="L37" s="71">
        <f t="shared" si="65"/>
        <v>9.9999999999980105E-3</v>
      </c>
      <c r="M37" s="71">
        <f t="shared" si="65"/>
        <v>8.7368949480542371E-2</v>
      </c>
      <c r="N37" s="72">
        <f t="shared" si="65"/>
        <v>2.8867513459479646E-2</v>
      </c>
      <c r="O37" s="78">
        <v>83.48</v>
      </c>
      <c r="P37" s="78">
        <v>99.16</v>
      </c>
      <c r="Q37" s="78">
        <v>90.22</v>
      </c>
      <c r="R37" s="79">
        <v>99.59</v>
      </c>
      <c r="S37" s="81">
        <v>83.52</v>
      </c>
      <c r="T37" s="81">
        <v>99.15</v>
      </c>
      <c r="U37" s="81">
        <v>90.05</v>
      </c>
      <c r="V37" s="82">
        <v>99.64</v>
      </c>
      <c r="W37" s="81">
        <v>83.48</v>
      </c>
      <c r="X37" s="81">
        <v>99.17</v>
      </c>
      <c r="Y37" s="81">
        <v>90.1</v>
      </c>
      <c r="Z37" s="81">
        <v>99.64</v>
      </c>
    </row>
    <row r="38" spans="1:26">
      <c r="A38" s="342"/>
      <c r="B38" s="95">
        <v>16</v>
      </c>
      <c r="C38" s="94" t="s">
        <v>78</v>
      </c>
      <c r="D38" s="94" t="s">
        <v>75</v>
      </c>
      <c r="E38" s="94" t="s">
        <v>80</v>
      </c>
      <c r="F38" s="94" t="s">
        <v>75</v>
      </c>
      <c r="G38" s="71">
        <f t="shared" ref="G38:J38" si="66">AVERAGE(O38,S38,W38)</f>
        <v>27.856666666666666</v>
      </c>
      <c r="H38" s="71">
        <f t="shared" si="66"/>
        <v>69.55</v>
      </c>
      <c r="I38" s="71">
        <f t="shared" si="66"/>
        <v>11.57</v>
      </c>
      <c r="J38" s="72">
        <f t="shared" si="66"/>
        <v>49.113333333333323</v>
      </c>
      <c r="K38" s="71">
        <f t="shared" ref="K38:N38" si="67">STDEV(O38,S38,W38)</f>
        <v>11.829760493489857</v>
      </c>
      <c r="L38" s="71">
        <f t="shared" si="67"/>
        <v>9.8870268534074182</v>
      </c>
      <c r="M38" s="71">
        <f t="shared" si="67"/>
        <v>1.8190931806809603</v>
      </c>
      <c r="N38" s="72">
        <f t="shared" si="67"/>
        <v>2.7130855742739342</v>
      </c>
      <c r="O38" s="78">
        <v>28.74</v>
      </c>
      <c r="P38" s="78">
        <v>74.92</v>
      </c>
      <c r="Q38" s="78">
        <v>10.56</v>
      </c>
      <c r="R38" s="79">
        <v>52.23</v>
      </c>
      <c r="S38" s="81">
        <v>15.61</v>
      </c>
      <c r="T38" s="81">
        <v>58.14</v>
      </c>
      <c r="U38" s="81">
        <v>10.48</v>
      </c>
      <c r="V38" s="82">
        <v>47.28</v>
      </c>
      <c r="W38" s="81">
        <v>39.22</v>
      </c>
      <c r="X38" s="81">
        <v>75.59</v>
      </c>
      <c r="Y38" s="81">
        <v>13.67</v>
      </c>
      <c r="Z38" s="81">
        <v>47.83</v>
      </c>
    </row>
    <row r="39" spans="1:26">
      <c r="A39" s="342"/>
      <c r="B39" s="95">
        <v>17</v>
      </c>
      <c r="C39" s="94" t="s">
        <v>78</v>
      </c>
      <c r="D39" s="94" t="s">
        <v>73</v>
      </c>
      <c r="E39" s="94" t="s">
        <v>80</v>
      </c>
      <c r="F39" s="94" t="s">
        <v>75</v>
      </c>
      <c r="G39" s="71">
        <f t="shared" ref="G39:J39" si="68">AVERAGE(O39,S39,W39)</f>
        <v>64.826666666666668</v>
      </c>
      <c r="H39" s="71">
        <f t="shared" si="68"/>
        <v>94.493333333333339</v>
      </c>
      <c r="I39" s="71">
        <f t="shared" si="68"/>
        <v>12.25</v>
      </c>
      <c r="J39" s="72">
        <f t="shared" si="68"/>
        <v>60.13</v>
      </c>
      <c r="K39" s="71">
        <f t="shared" ref="K39:N39" si="69">STDEV(O39,S39,W39)</f>
        <v>0.89455761878893947</v>
      </c>
      <c r="L39" s="71">
        <f t="shared" si="69"/>
        <v>0.36678785875944003</v>
      </c>
      <c r="M39" s="71">
        <f t="shared" si="69"/>
        <v>0.91016482023862044</v>
      </c>
      <c r="N39" s="72">
        <f t="shared" si="69"/>
        <v>1.9706851600395252</v>
      </c>
      <c r="O39" s="78">
        <v>65.56</v>
      </c>
      <c r="P39" s="78">
        <v>94.78</v>
      </c>
      <c r="Q39" s="78">
        <v>12.23</v>
      </c>
      <c r="R39" s="79">
        <v>61.03</v>
      </c>
      <c r="S39" s="81">
        <v>63.83</v>
      </c>
      <c r="T39" s="81">
        <v>94.08</v>
      </c>
      <c r="U39" s="81">
        <v>11.35</v>
      </c>
      <c r="V39" s="82">
        <v>57.87</v>
      </c>
      <c r="W39" s="81">
        <v>65.09</v>
      </c>
      <c r="X39" s="81">
        <v>94.62</v>
      </c>
      <c r="Y39" s="81">
        <v>13.17</v>
      </c>
      <c r="Z39" s="81">
        <v>61.49</v>
      </c>
    </row>
    <row r="40" spans="1:26">
      <c r="A40" s="342"/>
      <c r="B40" s="95">
        <v>18</v>
      </c>
      <c r="C40" s="94" t="s">
        <v>78</v>
      </c>
      <c r="D40" s="94" t="s">
        <v>75</v>
      </c>
      <c r="E40" s="94" t="s">
        <v>80</v>
      </c>
      <c r="F40" s="94" t="s">
        <v>73</v>
      </c>
      <c r="G40" s="71">
        <f t="shared" ref="G40:J40" si="70">AVERAGE(O40,S40,W40)</f>
        <v>81.766666666666666</v>
      </c>
      <c r="H40" s="71">
        <f t="shared" si="70"/>
        <v>98.743333333333339</v>
      </c>
      <c r="I40" s="71">
        <f t="shared" si="70"/>
        <v>82.643333333333331</v>
      </c>
      <c r="J40" s="72">
        <f t="shared" si="70"/>
        <v>98.823333333333323</v>
      </c>
      <c r="K40" s="71">
        <f t="shared" ref="K40:N40" si="71">STDEV(O40,S40,W40)</f>
        <v>0.47437678414244633</v>
      </c>
      <c r="L40" s="71">
        <f t="shared" si="71"/>
        <v>0.19425069712444487</v>
      </c>
      <c r="M40" s="71">
        <f t="shared" si="71"/>
        <v>3.8308919762025817</v>
      </c>
      <c r="N40" s="72">
        <f t="shared" si="71"/>
        <v>0.70550218520804497</v>
      </c>
      <c r="O40" s="78">
        <v>81.94</v>
      </c>
      <c r="P40" s="78">
        <v>98.79</v>
      </c>
      <c r="Q40" s="78">
        <v>84.59</v>
      </c>
      <c r="R40" s="79">
        <v>99.19</v>
      </c>
      <c r="S40" s="81">
        <v>82.13</v>
      </c>
      <c r="T40" s="81">
        <v>98.91</v>
      </c>
      <c r="U40" s="81">
        <v>78.23</v>
      </c>
      <c r="V40" s="82">
        <v>98.01</v>
      </c>
      <c r="W40" s="81">
        <v>81.23</v>
      </c>
      <c r="X40" s="81">
        <v>98.53</v>
      </c>
      <c r="Y40" s="81">
        <v>85.11</v>
      </c>
      <c r="Z40" s="81">
        <v>99.27</v>
      </c>
    </row>
    <row r="41" spans="1:26">
      <c r="A41" s="425" t="s">
        <v>86</v>
      </c>
      <c r="B41" s="100">
        <v>1</v>
      </c>
      <c r="C41" s="101" t="s">
        <v>72</v>
      </c>
      <c r="D41" s="101" t="s">
        <v>73</v>
      </c>
      <c r="E41" s="101" t="s">
        <v>74</v>
      </c>
      <c r="F41" s="101" t="s">
        <v>73</v>
      </c>
      <c r="G41" s="71">
        <f t="shared" ref="G41:J41" si="72">AVERAGE(O41,S41,W41)</f>
        <v>90.563333333333333</v>
      </c>
      <c r="H41" s="71">
        <f t="shared" si="72"/>
        <v>99.793333333333337</v>
      </c>
      <c r="I41" s="71">
        <f t="shared" si="72"/>
        <v>93.470000000000013</v>
      </c>
      <c r="J41" s="72">
        <f t="shared" si="72"/>
        <v>99.863333333333344</v>
      </c>
      <c r="K41" s="71">
        <f t="shared" ref="K41:N41" si="73">STDEV(O41,S41,W41)</f>
        <v>0.1755942292142165</v>
      </c>
      <c r="L41" s="71">
        <f t="shared" si="73"/>
        <v>2.0816659994664012E-2</v>
      </c>
      <c r="M41" s="71">
        <f t="shared" si="73"/>
        <v>0.27184554438136294</v>
      </c>
      <c r="N41" s="72">
        <f t="shared" si="73"/>
        <v>2.309401076758864E-2</v>
      </c>
      <c r="O41" s="71">
        <v>90.58</v>
      </c>
      <c r="P41" s="71">
        <v>99.77</v>
      </c>
      <c r="Q41" s="71">
        <v>93.4</v>
      </c>
      <c r="R41" s="72">
        <v>99.85</v>
      </c>
      <c r="S41" s="74">
        <v>90.38</v>
      </c>
      <c r="T41" s="74">
        <v>99.81</v>
      </c>
      <c r="U41" s="74">
        <v>93.77</v>
      </c>
      <c r="V41" s="75">
        <v>99.89</v>
      </c>
      <c r="W41" s="74">
        <v>90.73</v>
      </c>
      <c r="X41" s="74">
        <v>99.8</v>
      </c>
      <c r="Y41" s="74">
        <v>93.24</v>
      </c>
      <c r="Z41" s="74">
        <v>99.85</v>
      </c>
    </row>
    <row r="42" spans="1:26">
      <c r="A42" s="342"/>
      <c r="B42" s="102">
        <v>2</v>
      </c>
      <c r="C42" s="103" t="s">
        <v>72</v>
      </c>
      <c r="D42" s="103" t="s">
        <v>75</v>
      </c>
      <c r="E42" s="103" t="s">
        <v>74</v>
      </c>
      <c r="F42" s="103" t="s">
        <v>75</v>
      </c>
      <c r="G42" s="71">
        <f t="shared" ref="G42:J42" si="74">AVERAGE(O42,S42,W42)</f>
        <v>90.443333333333328</v>
      </c>
      <c r="H42" s="71">
        <f t="shared" si="74"/>
        <v>99.776666666666685</v>
      </c>
      <c r="I42" s="71">
        <f t="shared" si="74"/>
        <v>89.910000000000011</v>
      </c>
      <c r="J42" s="72">
        <f t="shared" si="74"/>
        <v>99.626666666666665</v>
      </c>
      <c r="K42" s="71">
        <f t="shared" ref="K42:N42" si="75">STDEV(O42,S42,W42)</f>
        <v>0.28589042189855635</v>
      </c>
      <c r="L42" s="71">
        <f t="shared" si="75"/>
        <v>5.7735026918992113E-3</v>
      </c>
      <c r="M42" s="71">
        <f t="shared" si="75"/>
        <v>0.90216406490172762</v>
      </c>
      <c r="N42" s="72">
        <f t="shared" si="75"/>
        <v>0.13576941236277484</v>
      </c>
      <c r="O42" s="78">
        <v>90.69</v>
      </c>
      <c r="P42" s="78">
        <v>99.78</v>
      </c>
      <c r="Q42" s="78">
        <v>90.29</v>
      </c>
      <c r="R42" s="79">
        <v>99.7</v>
      </c>
      <c r="S42" s="81">
        <v>90.13</v>
      </c>
      <c r="T42" s="81">
        <v>99.77</v>
      </c>
      <c r="U42" s="81">
        <v>90.56</v>
      </c>
      <c r="V42" s="82">
        <v>99.71</v>
      </c>
      <c r="W42" s="81">
        <v>90.51</v>
      </c>
      <c r="X42" s="81">
        <v>99.78</v>
      </c>
      <c r="Y42" s="81">
        <v>88.88</v>
      </c>
      <c r="Z42" s="81">
        <v>99.47</v>
      </c>
    </row>
    <row r="43" spans="1:26">
      <c r="A43" s="342"/>
      <c r="B43" s="102">
        <v>3</v>
      </c>
      <c r="C43" s="103" t="s">
        <v>72</v>
      </c>
      <c r="D43" s="103" t="s">
        <v>73</v>
      </c>
      <c r="E43" s="103" t="s">
        <v>74</v>
      </c>
      <c r="F43" s="103" t="s">
        <v>75</v>
      </c>
      <c r="G43" s="71">
        <f t="shared" ref="G43:J43" si="76">AVERAGE(O43,S43,W43)</f>
        <v>90.086666666666659</v>
      </c>
      <c r="H43" s="71">
        <f t="shared" si="76"/>
        <v>99.756666666666661</v>
      </c>
      <c r="I43" s="71">
        <f t="shared" si="76"/>
        <v>93.733333333333334</v>
      </c>
      <c r="J43" s="72">
        <f t="shared" si="76"/>
        <v>99.839999999999989</v>
      </c>
      <c r="K43" s="71">
        <f t="shared" ref="K43:N43" si="77">STDEV(O43,S43,W43)</f>
        <v>0.52175984258405217</v>
      </c>
      <c r="L43" s="71">
        <f t="shared" si="77"/>
        <v>3.7859388971999926E-2</v>
      </c>
      <c r="M43" s="71">
        <f t="shared" si="77"/>
        <v>4.0414518843272795E-2</v>
      </c>
      <c r="N43" s="72">
        <f t="shared" si="77"/>
        <v>3.6055512754642569E-2</v>
      </c>
      <c r="O43" s="78">
        <v>90.65</v>
      </c>
      <c r="P43" s="78">
        <v>99.8</v>
      </c>
      <c r="Q43" s="78">
        <v>93.69</v>
      </c>
      <c r="R43" s="79">
        <v>99.8</v>
      </c>
      <c r="S43" s="88">
        <v>89.62</v>
      </c>
      <c r="T43" s="88">
        <v>99.74</v>
      </c>
      <c r="U43" s="83">
        <v>93.74</v>
      </c>
      <c r="V43" s="84">
        <v>99.87</v>
      </c>
      <c r="W43" s="88">
        <v>89.99</v>
      </c>
      <c r="X43" s="88">
        <v>99.73</v>
      </c>
      <c r="Y43" s="83">
        <v>93.77</v>
      </c>
      <c r="Z43" s="83">
        <v>99.85</v>
      </c>
    </row>
    <row r="44" spans="1:26">
      <c r="A44" s="342"/>
      <c r="B44" s="102">
        <v>4</v>
      </c>
      <c r="C44" s="103" t="s">
        <v>72</v>
      </c>
      <c r="D44" s="103" t="s">
        <v>75</v>
      </c>
      <c r="E44" s="103" t="s">
        <v>74</v>
      </c>
      <c r="F44" s="103" t="s">
        <v>73</v>
      </c>
      <c r="G44" s="71">
        <f t="shared" ref="G44:J44" si="78">AVERAGE(O44,S44,W44)</f>
        <v>91.24666666666667</v>
      </c>
      <c r="H44" s="71">
        <f t="shared" si="78"/>
        <v>99.786666666666676</v>
      </c>
      <c r="I44" s="71">
        <f t="shared" si="78"/>
        <v>88.933333333333323</v>
      </c>
      <c r="J44" s="72">
        <f t="shared" si="78"/>
        <v>99.536666666666676</v>
      </c>
      <c r="K44" s="71">
        <f t="shared" ref="K44:N44" si="79">STDEV(O44,S44,W44)</f>
        <v>0.10016652800877263</v>
      </c>
      <c r="L44" s="71">
        <f t="shared" si="79"/>
        <v>5.7735026918992113E-3</v>
      </c>
      <c r="M44" s="71">
        <f t="shared" si="79"/>
        <v>0.14843629385475182</v>
      </c>
      <c r="N44" s="72">
        <f t="shared" si="79"/>
        <v>3.7859388971999926E-2</v>
      </c>
      <c r="O44" s="78">
        <v>91.35</v>
      </c>
      <c r="P44" s="78">
        <v>99.79</v>
      </c>
      <c r="Q44" s="78">
        <v>89.06</v>
      </c>
      <c r="R44" s="79">
        <v>99.52</v>
      </c>
      <c r="S44" s="81">
        <v>91.24</v>
      </c>
      <c r="T44" s="81">
        <v>99.78</v>
      </c>
      <c r="U44" s="83">
        <v>88.77</v>
      </c>
      <c r="V44" s="84">
        <v>99.58</v>
      </c>
      <c r="W44" s="83">
        <v>91.15</v>
      </c>
      <c r="X44" s="83">
        <v>99.79</v>
      </c>
      <c r="Y44" s="83">
        <v>88.97</v>
      </c>
      <c r="Z44" s="83">
        <v>99.51</v>
      </c>
    </row>
    <row r="45" spans="1:26">
      <c r="A45" s="342"/>
      <c r="B45" s="102">
        <v>5</v>
      </c>
      <c r="C45" s="103" t="s">
        <v>77</v>
      </c>
      <c r="D45" s="103" t="s">
        <v>73</v>
      </c>
      <c r="E45" s="103" t="s">
        <v>74</v>
      </c>
      <c r="F45" s="103" t="s">
        <v>73</v>
      </c>
      <c r="G45" s="71">
        <f t="shared" ref="G45:J45" si="80">AVERAGE(O45,S45,W45)</f>
        <v>90.546666666666667</v>
      </c>
      <c r="H45" s="71">
        <f t="shared" si="80"/>
        <v>99.783333333333346</v>
      </c>
      <c r="I45" s="71">
        <f t="shared" si="80"/>
        <v>93.333333333333329</v>
      </c>
      <c r="J45" s="72">
        <f t="shared" si="80"/>
        <v>99.87</v>
      </c>
      <c r="K45" s="71">
        <f t="shared" ref="K45:N45" si="81">STDEV(O45,S45,W45)</f>
        <v>0.18009256878986557</v>
      </c>
      <c r="L45" s="71">
        <f t="shared" si="81"/>
        <v>6.5064070986474737E-2</v>
      </c>
      <c r="M45" s="71">
        <f t="shared" si="81"/>
        <v>0.31262330900515789</v>
      </c>
      <c r="N45" s="72">
        <f t="shared" si="81"/>
        <v>3.0000000000001137E-2</v>
      </c>
      <c r="O45" s="78">
        <v>90.34</v>
      </c>
      <c r="P45" s="78">
        <v>99.72</v>
      </c>
      <c r="Q45" s="78">
        <v>93.38</v>
      </c>
      <c r="R45" s="79">
        <v>99.9</v>
      </c>
      <c r="S45" s="81">
        <v>90.63</v>
      </c>
      <c r="T45" s="81">
        <v>99.78</v>
      </c>
      <c r="U45" s="81">
        <v>93</v>
      </c>
      <c r="V45" s="82">
        <v>99.87</v>
      </c>
      <c r="W45" s="81">
        <v>90.67</v>
      </c>
      <c r="X45" s="81">
        <v>99.85</v>
      </c>
      <c r="Y45" s="81">
        <v>93.62</v>
      </c>
      <c r="Z45" s="81">
        <v>99.84</v>
      </c>
    </row>
    <row r="46" spans="1:26">
      <c r="A46" s="342"/>
      <c r="B46" s="102">
        <v>6</v>
      </c>
      <c r="C46" s="103" t="s">
        <v>77</v>
      </c>
      <c r="D46" s="103" t="s">
        <v>75</v>
      </c>
      <c r="E46" s="103" t="s">
        <v>74</v>
      </c>
      <c r="F46" s="103" t="s">
        <v>75</v>
      </c>
      <c r="G46" s="71">
        <f t="shared" ref="G46:J46" si="82">AVERAGE(O46,S46,W46)</f>
        <v>90.27</v>
      </c>
      <c r="H46" s="71">
        <f t="shared" si="82"/>
        <v>99.73</v>
      </c>
      <c r="I46" s="71">
        <f t="shared" si="82"/>
        <v>88.506666666666661</v>
      </c>
      <c r="J46" s="72">
        <f t="shared" si="82"/>
        <v>99.443333333333342</v>
      </c>
      <c r="K46" s="71">
        <f t="shared" ref="K46:N46" si="83">STDEV(O46,S46,W46)</f>
        <v>0.64861390672726493</v>
      </c>
      <c r="L46" s="71">
        <f t="shared" si="83"/>
        <v>5.1961524227068283E-2</v>
      </c>
      <c r="M46" s="71">
        <f t="shared" si="83"/>
        <v>2.190760902821975</v>
      </c>
      <c r="N46" s="72">
        <f t="shared" si="83"/>
        <v>0.23586719427112576</v>
      </c>
      <c r="O46" s="78">
        <v>90</v>
      </c>
      <c r="P46" s="78">
        <v>99.76</v>
      </c>
      <c r="Q46" s="78">
        <v>90.73</v>
      </c>
      <c r="R46" s="79">
        <v>99.69</v>
      </c>
      <c r="S46" s="81">
        <v>89.8</v>
      </c>
      <c r="T46" s="81">
        <v>99.67</v>
      </c>
      <c r="U46" s="81">
        <v>88.44</v>
      </c>
      <c r="V46" s="82">
        <v>99.42</v>
      </c>
      <c r="W46" s="81">
        <v>91.01</v>
      </c>
      <c r="X46" s="81">
        <v>99.76</v>
      </c>
      <c r="Y46" s="81">
        <v>86.35</v>
      </c>
      <c r="Z46" s="81">
        <v>99.22</v>
      </c>
    </row>
    <row r="47" spans="1:26">
      <c r="A47" s="342"/>
      <c r="B47" s="102">
        <v>7</v>
      </c>
      <c r="C47" s="103" t="s">
        <v>77</v>
      </c>
      <c r="D47" s="103" t="s">
        <v>73</v>
      </c>
      <c r="E47" s="103" t="s">
        <v>74</v>
      </c>
      <c r="F47" s="103" t="s">
        <v>75</v>
      </c>
      <c r="G47" s="71">
        <f t="shared" ref="G47:J47" si="84">AVERAGE(O47,S47,W47)</f>
        <v>90.776666666666657</v>
      </c>
      <c r="H47" s="71">
        <f t="shared" si="84"/>
        <v>99.75333333333333</v>
      </c>
      <c r="I47" s="71">
        <f t="shared" si="84"/>
        <v>93.34333333333332</v>
      </c>
      <c r="J47" s="72">
        <f t="shared" si="84"/>
        <v>99.850000000000009</v>
      </c>
      <c r="K47" s="71">
        <f t="shared" ref="K47:N47" si="85">STDEV(O47,S47,W47)</f>
        <v>0.32654759734736288</v>
      </c>
      <c r="L47" s="71">
        <f t="shared" si="85"/>
        <v>4.7258156262526205E-2</v>
      </c>
      <c r="M47" s="71">
        <f t="shared" si="85"/>
        <v>0.28360771028541043</v>
      </c>
      <c r="N47" s="72">
        <f t="shared" si="85"/>
        <v>2.6457513110651386E-2</v>
      </c>
      <c r="O47" s="78">
        <v>90.74</v>
      </c>
      <c r="P47" s="78">
        <v>99.79</v>
      </c>
      <c r="Q47" s="78">
        <v>93.55</v>
      </c>
      <c r="R47" s="79">
        <v>99.82</v>
      </c>
      <c r="S47" s="83">
        <v>90.47</v>
      </c>
      <c r="T47" s="83">
        <v>99.7</v>
      </c>
      <c r="U47" s="83">
        <v>93.46</v>
      </c>
      <c r="V47" s="84">
        <v>99.86</v>
      </c>
      <c r="W47" s="83">
        <v>91.12</v>
      </c>
      <c r="X47" s="83">
        <v>99.77</v>
      </c>
      <c r="Y47" s="83">
        <v>93.02</v>
      </c>
      <c r="Z47" s="83">
        <v>99.87</v>
      </c>
    </row>
    <row r="48" spans="1:26">
      <c r="A48" s="342"/>
      <c r="B48" s="102">
        <v>8</v>
      </c>
      <c r="C48" s="103" t="s">
        <v>77</v>
      </c>
      <c r="D48" s="103" t="s">
        <v>75</v>
      </c>
      <c r="E48" s="103" t="s">
        <v>74</v>
      </c>
      <c r="F48" s="103" t="s">
        <v>73</v>
      </c>
      <c r="G48" s="71">
        <f t="shared" ref="G48:J48" si="86">AVERAGE(O48,S48,W48)</f>
        <v>89.360000000000014</v>
      </c>
      <c r="H48" s="71">
        <f t="shared" si="86"/>
        <v>99.633333333333326</v>
      </c>
      <c r="I48" s="71">
        <f t="shared" si="86"/>
        <v>90.163333333333341</v>
      </c>
      <c r="J48" s="72">
        <f t="shared" si="86"/>
        <v>99.593333333333305</v>
      </c>
      <c r="K48" s="71">
        <f t="shared" ref="K48:N48" si="87">STDEV(O48,S48,W48)</f>
        <v>2.0196286787427025</v>
      </c>
      <c r="L48" s="71">
        <f t="shared" si="87"/>
        <v>0.26274195198585054</v>
      </c>
      <c r="M48" s="71">
        <f t="shared" si="87"/>
        <v>0.30171730698343596</v>
      </c>
      <c r="N48" s="72">
        <f t="shared" si="87"/>
        <v>5.0332229568520945E-2</v>
      </c>
      <c r="O48" s="78">
        <v>90.61</v>
      </c>
      <c r="P48" s="78">
        <v>99.78</v>
      </c>
      <c r="Q48" s="78">
        <v>89.96</v>
      </c>
      <c r="R48" s="79">
        <v>99.539999999999907</v>
      </c>
      <c r="S48" s="83">
        <v>90.44</v>
      </c>
      <c r="T48" s="83">
        <v>99.79</v>
      </c>
      <c r="U48" s="83">
        <v>90.02</v>
      </c>
      <c r="V48" s="84">
        <v>99.6</v>
      </c>
      <c r="W48" s="83">
        <v>87.03</v>
      </c>
      <c r="X48" s="83">
        <v>99.33</v>
      </c>
      <c r="Y48" s="83">
        <v>90.51</v>
      </c>
      <c r="Z48" s="83">
        <v>99.64</v>
      </c>
    </row>
    <row r="49" spans="1:26">
      <c r="A49" s="342"/>
      <c r="B49" s="102">
        <v>9</v>
      </c>
      <c r="C49" s="103" t="s">
        <v>78</v>
      </c>
      <c r="D49" s="103" t="s">
        <v>73</v>
      </c>
      <c r="E49" s="103" t="s">
        <v>74</v>
      </c>
      <c r="F49" s="103" t="s">
        <v>73</v>
      </c>
      <c r="G49" s="71">
        <f t="shared" ref="G49:J49" si="88">AVERAGE(O49,S49,W49)</f>
        <v>90.38</v>
      </c>
      <c r="H49" s="71">
        <f t="shared" si="88"/>
        <v>99.743333333333339</v>
      </c>
      <c r="I49" s="71">
        <f t="shared" si="88"/>
        <v>93.850000000000009</v>
      </c>
      <c r="J49" s="72">
        <f t="shared" si="88"/>
        <v>99.910000000000011</v>
      </c>
      <c r="K49" s="71">
        <f t="shared" ref="K49:N49" si="89">STDEV(O49,S49,W49)</f>
        <v>0.80299439599539091</v>
      </c>
      <c r="L49" s="71">
        <f t="shared" si="89"/>
        <v>6.1101009266079663E-2</v>
      </c>
      <c r="M49" s="71">
        <f t="shared" si="89"/>
        <v>8.5440037453175771E-2</v>
      </c>
      <c r="N49" s="72">
        <f t="shared" si="89"/>
        <v>1.7404671430534633E-14</v>
      </c>
      <c r="O49" s="78">
        <v>91.3</v>
      </c>
      <c r="P49" s="78">
        <v>99.81</v>
      </c>
      <c r="Q49" s="78">
        <v>93.93</v>
      </c>
      <c r="R49" s="79">
        <v>99.91</v>
      </c>
      <c r="S49" s="81">
        <v>90.02</v>
      </c>
      <c r="T49" s="81">
        <v>99.69</v>
      </c>
      <c r="U49" s="81">
        <v>93.86</v>
      </c>
      <c r="V49" s="82">
        <v>99.91</v>
      </c>
      <c r="W49" s="81">
        <v>89.82</v>
      </c>
      <c r="X49" s="81">
        <v>99.73</v>
      </c>
      <c r="Y49" s="81">
        <v>93.76</v>
      </c>
      <c r="Z49" s="81">
        <v>99.91</v>
      </c>
    </row>
    <row r="50" spans="1:26">
      <c r="A50" s="342"/>
      <c r="B50" s="102">
        <v>10</v>
      </c>
      <c r="C50" s="103" t="s">
        <v>78</v>
      </c>
      <c r="D50" s="103" t="s">
        <v>75</v>
      </c>
      <c r="E50" s="103" t="s">
        <v>74</v>
      </c>
      <c r="F50" s="103" t="s">
        <v>75</v>
      </c>
      <c r="G50" s="71">
        <f t="shared" ref="G50:J50" si="90">AVERAGE(O50,S50,W50)</f>
        <v>90.853333333333339</v>
      </c>
      <c r="H50" s="71">
        <f t="shared" si="90"/>
        <v>99.783333333333346</v>
      </c>
      <c r="I50" s="71">
        <f t="shared" si="90"/>
        <v>89.273333333333355</v>
      </c>
      <c r="J50" s="72">
        <f t="shared" si="90"/>
        <v>99.493333333333339</v>
      </c>
      <c r="K50" s="71">
        <f t="shared" ref="K50:N50" si="91">STDEV(O50,S50,W50)</f>
        <v>0.24419937209856574</v>
      </c>
      <c r="L50" s="71">
        <f t="shared" si="91"/>
        <v>5.1316014394473398E-2</v>
      </c>
      <c r="M50" s="71">
        <f t="shared" si="91"/>
        <v>0.6824465791058909</v>
      </c>
      <c r="N50" s="72">
        <f t="shared" si="91"/>
        <v>0.14571661996263102</v>
      </c>
      <c r="O50" s="78">
        <v>91.05</v>
      </c>
      <c r="P50" s="78">
        <v>99.74</v>
      </c>
      <c r="Q50" s="78">
        <v>88.92</v>
      </c>
      <c r="R50" s="79">
        <v>99.61</v>
      </c>
      <c r="S50" s="81">
        <v>90.58</v>
      </c>
      <c r="T50" s="81">
        <v>99.77</v>
      </c>
      <c r="U50" s="81">
        <v>90.06</v>
      </c>
      <c r="V50" s="82">
        <v>99.54</v>
      </c>
      <c r="W50" s="81">
        <v>90.93</v>
      </c>
      <c r="X50" s="81">
        <v>99.84</v>
      </c>
      <c r="Y50" s="81">
        <v>88.84</v>
      </c>
      <c r="Z50" s="81">
        <v>99.33</v>
      </c>
    </row>
    <row r="51" spans="1:26">
      <c r="A51" s="342"/>
      <c r="B51" s="102">
        <v>11</v>
      </c>
      <c r="C51" s="103" t="s">
        <v>78</v>
      </c>
      <c r="D51" s="103" t="s">
        <v>73</v>
      </c>
      <c r="E51" s="103" t="s">
        <v>74</v>
      </c>
      <c r="F51" s="103" t="s">
        <v>75</v>
      </c>
      <c r="G51" s="71">
        <f t="shared" ref="G51:J51" si="92">AVERAGE(O51,S51,W51)</f>
        <v>90.65000000000002</v>
      </c>
      <c r="H51" s="71">
        <f t="shared" si="92"/>
        <v>99.74666666666667</v>
      </c>
      <c r="I51" s="71">
        <f t="shared" si="92"/>
        <v>93.733333333333334</v>
      </c>
      <c r="J51" s="72">
        <f t="shared" si="92"/>
        <v>99.910000000000011</v>
      </c>
      <c r="K51" s="71">
        <f t="shared" ref="K51:N51" si="93">STDEV(O51,S51,W51)</f>
        <v>0.63906181234681747</v>
      </c>
      <c r="L51" s="71">
        <f t="shared" si="93"/>
        <v>4.9328828623163221E-2</v>
      </c>
      <c r="M51" s="71">
        <f t="shared" si="93"/>
        <v>0.16165807537309235</v>
      </c>
      <c r="N51" s="72">
        <f t="shared" si="93"/>
        <v>1.7320508075689429E-2</v>
      </c>
      <c r="O51" s="78">
        <v>90.87</v>
      </c>
      <c r="P51" s="78">
        <v>99.77</v>
      </c>
      <c r="Q51" s="78">
        <v>93.88</v>
      </c>
      <c r="R51" s="79">
        <v>99.92</v>
      </c>
      <c r="S51" s="81">
        <v>91.15</v>
      </c>
      <c r="T51" s="81">
        <v>99.78</v>
      </c>
      <c r="U51" s="81">
        <v>93.76</v>
      </c>
      <c r="V51" s="82">
        <v>99.92</v>
      </c>
      <c r="W51" s="81">
        <v>89.93</v>
      </c>
      <c r="X51" s="81">
        <v>99.69</v>
      </c>
      <c r="Y51" s="81">
        <v>93.56</v>
      </c>
      <c r="Z51" s="81">
        <v>99.89</v>
      </c>
    </row>
    <row r="52" spans="1:26">
      <c r="A52" s="342"/>
      <c r="B52" s="102">
        <v>12</v>
      </c>
      <c r="C52" s="103" t="s">
        <v>78</v>
      </c>
      <c r="D52" s="103" t="s">
        <v>75</v>
      </c>
      <c r="E52" s="103" t="s">
        <v>74</v>
      </c>
      <c r="F52" s="103" t="s">
        <v>73</v>
      </c>
      <c r="G52" s="71">
        <f t="shared" ref="G52:J52" si="94">AVERAGE(O52,S52,W52)</f>
        <v>90.226666666666674</v>
      </c>
      <c r="H52" s="71">
        <f t="shared" si="94"/>
        <v>99.723333333333343</v>
      </c>
      <c r="I52" s="71">
        <f t="shared" si="94"/>
        <v>89.2</v>
      </c>
      <c r="J52" s="72">
        <f t="shared" si="94"/>
        <v>99.566666666666663</v>
      </c>
      <c r="K52" s="71">
        <f t="shared" ref="K52:N52" si="95">STDEV(O52,S52,W52)</f>
        <v>0.86558265540231993</v>
      </c>
      <c r="L52" s="71">
        <f t="shared" si="95"/>
        <v>3.7859388971996796E-2</v>
      </c>
      <c r="M52" s="71">
        <f t="shared" si="95"/>
        <v>0.54506880299646032</v>
      </c>
      <c r="N52" s="72">
        <f t="shared" si="95"/>
        <v>3.2145502536643417E-2</v>
      </c>
      <c r="O52" s="78">
        <v>89.23</v>
      </c>
      <c r="P52" s="78">
        <v>99.68</v>
      </c>
      <c r="Q52" s="78">
        <v>89.74</v>
      </c>
      <c r="R52" s="79">
        <v>99.53</v>
      </c>
      <c r="S52" s="81">
        <v>90.66</v>
      </c>
      <c r="T52" s="81">
        <v>99.74</v>
      </c>
      <c r="U52" s="81">
        <v>89.21</v>
      </c>
      <c r="V52" s="82">
        <v>99.59</v>
      </c>
      <c r="W52" s="81">
        <v>90.79</v>
      </c>
      <c r="X52" s="81">
        <v>99.75</v>
      </c>
      <c r="Y52" s="81">
        <v>88.65</v>
      </c>
      <c r="Z52" s="81">
        <v>99.58</v>
      </c>
    </row>
    <row r="53" spans="1:26">
      <c r="A53" s="342"/>
      <c r="B53" s="102">
        <v>13</v>
      </c>
      <c r="C53" s="103" t="s">
        <v>72</v>
      </c>
      <c r="D53" s="103" t="s">
        <v>73</v>
      </c>
      <c r="E53" s="103" t="s">
        <v>80</v>
      </c>
      <c r="F53" s="103" t="s">
        <v>73</v>
      </c>
      <c r="G53" s="71">
        <f t="shared" ref="G53:J53" si="96">AVERAGE(O53,S53,W53)</f>
        <v>86.149999999999991</v>
      </c>
      <c r="H53" s="71">
        <f t="shared" si="96"/>
        <v>99.34999999999998</v>
      </c>
      <c r="I53" s="71">
        <f t="shared" si="96"/>
        <v>92.24</v>
      </c>
      <c r="J53" s="72">
        <f t="shared" si="96"/>
        <v>99.84666666666665</v>
      </c>
      <c r="K53" s="71">
        <f t="shared" ref="K53:N53" si="97">STDEV(O53,S53,W53)</f>
        <v>0.35538711287834246</v>
      </c>
      <c r="L53" s="71">
        <f t="shared" si="97"/>
        <v>3.0000000000001137E-2</v>
      </c>
      <c r="M53" s="71">
        <f t="shared" si="97"/>
        <v>0.26627053911388759</v>
      </c>
      <c r="N53" s="72">
        <f t="shared" si="97"/>
        <v>1.5275252316519529E-2</v>
      </c>
      <c r="O53" s="78">
        <v>86.37</v>
      </c>
      <c r="P53" s="78">
        <v>99.32</v>
      </c>
      <c r="Q53" s="78">
        <v>92.21</v>
      </c>
      <c r="R53" s="79">
        <v>99.86</v>
      </c>
      <c r="S53" s="83">
        <v>86.34</v>
      </c>
      <c r="T53" s="83">
        <v>99.38</v>
      </c>
      <c r="U53" s="81">
        <v>92.52</v>
      </c>
      <c r="V53" s="82">
        <v>99.85</v>
      </c>
      <c r="W53" s="88">
        <v>85.74</v>
      </c>
      <c r="X53" s="81">
        <v>99.35</v>
      </c>
      <c r="Y53" s="81">
        <v>91.99</v>
      </c>
      <c r="Z53" s="81">
        <v>99.83</v>
      </c>
    </row>
    <row r="54" spans="1:26">
      <c r="A54" s="342"/>
      <c r="B54" s="102">
        <v>14</v>
      </c>
      <c r="C54" s="103" t="s">
        <v>72</v>
      </c>
      <c r="D54" s="103" t="s">
        <v>75</v>
      </c>
      <c r="E54" s="103" t="s">
        <v>80</v>
      </c>
      <c r="F54" s="103" t="s">
        <v>75</v>
      </c>
      <c r="G54" s="71">
        <f t="shared" ref="G54:J54" si="98">AVERAGE(O54,S54,W54)</f>
        <v>32.43</v>
      </c>
      <c r="H54" s="71">
        <f t="shared" si="98"/>
        <v>80.766666666666666</v>
      </c>
      <c r="I54" s="71">
        <f t="shared" si="98"/>
        <v>14.816666666666668</v>
      </c>
      <c r="J54" s="72">
        <f t="shared" si="98"/>
        <v>48.093333333333334</v>
      </c>
      <c r="K54" s="71">
        <f t="shared" ref="K54:N54" si="99">STDEV(O54,S54,W54)</f>
        <v>6.4419950325966528</v>
      </c>
      <c r="L54" s="71">
        <f t="shared" si="99"/>
        <v>2.288434690641914</v>
      </c>
      <c r="M54" s="71">
        <f t="shared" si="99"/>
        <v>0.11015141094572233</v>
      </c>
      <c r="N54" s="72">
        <f t="shared" si="99"/>
        <v>1.9624559443038039</v>
      </c>
      <c r="O54" s="78">
        <v>25.52</v>
      </c>
      <c r="P54" s="78">
        <v>78.239999999999995</v>
      </c>
      <c r="Q54" s="78">
        <v>14.87</v>
      </c>
      <c r="R54" s="79">
        <v>47.29</v>
      </c>
      <c r="S54" s="83">
        <v>38.270000000000003</v>
      </c>
      <c r="T54" s="83">
        <v>82.7</v>
      </c>
      <c r="U54" s="81">
        <v>14.69</v>
      </c>
      <c r="V54" s="82">
        <v>50.33</v>
      </c>
      <c r="W54" s="81">
        <v>33.5</v>
      </c>
      <c r="X54" s="81">
        <v>81.36</v>
      </c>
      <c r="Y54" s="81">
        <v>14.89</v>
      </c>
      <c r="Z54" s="81">
        <v>46.66</v>
      </c>
    </row>
    <row r="55" spans="1:26">
      <c r="A55" s="342"/>
      <c r="B55" s="102">
        <v>15</v>
      </c>
      <c r="C55" s="103" t="s">
        <v>78</v>
      </c>
      <c r="D55" s="103" t="s">
        <v>73</v>
      </c>
      <c r="E55" s="103" t="s">
        <v>80</v>
      </c>
      <c r="F55" s="103" t="s">
        <v>73</v>
      </c>
      <c r="G55" s="71">
        <f t="shared" ref="G55:J55" si="100">AVERAGE(O55,S55,W55)</f>
        <v>85.673333333333332</v>
      </c>
      <c r="H55" s="71">
        <f t="shared" si="100"/>
        <v>99.29</v>
      </c>
      <c r="I55" s="71">
        <f t="shared" si="100"/>
        <v>92.183333333333337</v>
      </c>
      <c r="J55" s="72">
        <f t="shared" si="100"/>
        <v>99.803333333333327</v>
      </c>
      <c r="K55" s="71">
        <f t="shared" ref="K55:N55" si="101">STDEV(O55,S55,W55)</f>
        <v>0.67869973724271515</v>
      </c>
      <c r="L55" s="71">
        <f t="shared" si="101"/>
        <v>7.9372539331932668E-2</v>
      </c>
      <c r="M55" s="71">
        <f t="shared" si="101"/>
        <v>0.21197484127446201</v>
      </c>
      <c r="N55" s="72">
        <f t="shared" si="101"/>
        <v>3.2145502536643417E-2</v>
      </c>
      <c r="O55" s="78">
        <v>85.95</v>
      </c>
      <c r="P55" s="78">
        <v>99.38</v>
      </c>
      <c r="Q55" s="78">
        <v>92.15</v>
      </c>
      <c r="R55" s="79">
        <v>99.78</v>
      </c>
      <c r="S55" s="83">
        <v>86.17</v>
      </c>
      <c r="T55" s="83">
        <v>99.23</v>
      </c>
      <c r="U55" s="81">
        <v>92.41</v>
      </c>
      <c r="V55" s="82">
        <v>99.79</v>
      </c>
      <c r="W55" s="81">
        <v>84.9</v>
      </c>
      <c r="X55" s="81">
        <v>99.26</v>
      </c>
      <c r="Y55" s="81">
        <v>91.99</v>
      </c>
      <c r="Z55" s="81">
        <v>99.84</v>
      </c>
    </row>
    <row r="56" spans="1:26">
      <c r="A56" s="342"/>
      <c r="B56" s="102">
        <v>16</v>
      </c>
      <c r="C56" s="103" t="s">
        <v>78</v>
      </c>
      <c r="D56" s="103" t="s">
        <v>75</v>
      </c>
      <c r="E56" s="103" t="s">
        <v>80</v>
      </c>
      <c r="F56" s="103" t="s">
        <v>75</v>
      </c>
      <c r="G56" s="71">
        <f t="shared" ref="G56:J56" si="102">AVERAGE(O56,S56,W56)</f>
        <v>39.643333333333331</v>
      </c>
      <c r="H56" s="71">
        <f t="shared" si="102"/>
        <v>83.88</v>
      </c>
      <c r="I56" s="71">
        <f t="shared" si="102"/>
        <v>17.3</v>
      </c>
      <c r="J56" s="72">
        <f t="shared" si="102"/>
        <v>51.45000000000001</v>
      </c>
      <c r="K56" s="71">
        <f t="shared" ref="K56:N56" si="103">STDEV(O56,S56,W56)</f>
        <v>6.7250154894493299</v>
      </c>
      <c r="L56" s="71">
        <f t="shared" si="103"/>
        <v>0.48538644398047009</v>
      </c>
      <c r="M56" s="71">
        <f t="shared" si="103"/>
        <v>0.72062472896786001</v>
      </c>
      <c r="N56" s="72">
        <f t="shared" si="103"/>
        <v>0.53113086899558082</v>
      </c>
      <c r="O56" s="78">
        <v>46.36</v>
      </c>
      <c r="P56" s="78">
        <v>84.18</v>
      </c>
      <c r="Q56" s="78">
        <v>16.489999999999998</v>
      </c>
      <c r="R56" s="79">
        <v>50.86</v>
      </c>
      <c r="S56" s="83">
        <v>39.659999999999997</v>
      </c>
      <c r="T56" s="83">
        <v>84.14</v>
      </c>
      <c r="U56" s="81">
        <v>17.54</v>
      </c>
      <c r="V56" s="82">
        <v>51.6</v>
      </c>
      <c r="W56" s="81">
        <v>32.909999999999997</v>
      </c>
      <c r="X56" s="81">
        <v>83.32</v>
      </c>
      <c r="Y56" s="81">
        <v>17.87</v>
      </c>
      <c r="Z56" s="81">
        <v>51.89</v>
      </c>
    </row>
    <row r="57" spans="1:26">
      <c r="A57" s="342"/>
      <c r="B57" s="102">
        <v>17</v>
      </c>
      <c r="C57" s="103" t="s">
        <v>78</v>
      </c>
      <c r="D57" s="103" t="s">
        <v>73</v>
      </c>
      <c r="E57" s="103" t="s">
        <v>80</v>
      </c>
      <c r="F57" s="103" t="s">
        <v>75</v>
      </c>
      <c r="G57" s="71">
        <f t="shared" ref="G57:J57" si="104">AVERAGE(O57,S57,W57)</f>
        <v>67.61999999999999</v>
      </c>
      <c r="H57" s="71">
        <f t="shared" si="104"/>
        <v>95.23</v>
      </c>
      <c r="I57" s="71">
        <f t="shared" si="104"/>
        <v>82.176666666666677</v>
      </c>
      <c r="J57" s="72">
        <f t="shared" si="104"/>
        <v>97.443333333333328</v>
      </c>
      <c r="K57" s="71">
        <f t="shared" ref="K57:N57" si="105">STDEV(O57,S57,W57)</f>
        <v>0.35594943461115036</v>
      </c>
      <c r="L57" s="71">
        <f t="shared" si="105"/>
        <v>0.51971145840744604</v>
      </c>
      <c r="M57" s="71">
        <f t="shared" si="105"/>
        <v>5.798252610341609</v>
      </c>
      <c r="N57" s="72">
        <f t="shared" si="105"/>
        <v>2.074664631532849</v>
      </c>
      <c r="O57" s="78">
        <v>67.989999999999995</v>
      </c>
      <c r="P57" s="78">
        <v>94.84</v>
      </c>
      <c r="Q57" s="78">
        <v>87.11</v>
      </c>
      <c r="R57" s="79">
        <v>99.08</v>
      </c>
      <c r="S57" s="83">
        <v>67.59</v>
      </c>
      <c r="T57" s="83">
        <v>95.82</v>
      </c>
      <c r="U57" s="81">
        <v>83.63</v>
      </c>
      <c r="V57" s="82">
        <v>98.14</v>
      </c>
      <c r="W57" s="81">
        <v>67.28</v>
      </c>
      <c r="X57" s="81">
        <v>95.03</v>
      </c>
      <c r="Y57" s="81">
        <v>75.790000000000006</v>
      </c>
      <c r="Z57" s="81">
        <v>95.11</v>
      </c>
    </row>
    <row r="58" spans="1:26">
      <c r="A58" s="342"/>
      <c r="B58" s="102">
        <v>18</v>
      </c>
      <c r="C58" s="103" t="s">
        <v>78</v>
      </c>
      <c r="D58" s="103" t="s">
        <v>75</v>
      </c>
      <c r="E58" s="103" t="s">
        <v>80</v>
      </c>
      <c r="F58" s="103" t="s">
        <v>73</v>
      </c>
      <c r="G58" s="71">
        <f t="shared" ref="G58:J58" si="106">AVERAGE(O58,S58,W58)</f>
        <v>85.350000000000009</v>
      </c>
      <c r="H58" s="71">
        <f t="shared" si="106"/>
        <v>99.2</v>
      </c>
      <c r="I58" s="71">
        <f t="shared" si="106"/>
        <v>87.323333333333338</v>
      </c>
      <c r="J58" s="72">
        <f t="shared" si="106"/>
        <v>99.446666666666673</v>
      </c>
      <c r="K58" s="71">
        <f t="shared" ref="K58:N58" si="107">STDEV(O58,S58,W58)</f>
        <v>0.33511192160232156</v>
      </c>
      <c r="L58" s="71">
        <f t="shared" si="107"/>
        <v>3.9999999999999147E-2</v>
      </c>
      <c r="M58" s="71">
        <f t="shared" si="107"/>
        <v>1.7551448183364577</v>
      </c>
      <c r="N58" s="72">
        <f t="shared" si="107"/>
        <v>9.8657657246326441E-2</v>
      </c>
      <c r="O58" s="78">
        <v>85.68</v>
      </c>
      <c r="P58" s="78">
        <v>99.16</v>
      </c>
      <c r="Q58" s="78">
        <v>86.31</v>
      </c>
      <c r="R58" s="79">
        <v>99.38</v>
      </c>
      <c r="S58" s="83">
        <v>85.01</v>
      </c>
      <c r="T58" s="83">
        <v>99.2</v>
      </c>
      <c r="U58" s="81">
        <v>86.31</v>
      </c>
      <c r="V58" s="82">
        <v>99.4</v>
      </c>
      <c r="W58" s="81">
        <v>85.36</v>
      </c>
      <c r="X58" s="81">
        <v>99.24</v>
      </c>
      <c r="Y58" s="81">
        <v>89.35</v>
      </c>
      <c r="Z58" s="81">
        <v>99.56</v>
      </c>
    </row>
    <row r="59" spans="1:26">
      <c r="A59" s="426" t="s">
        <v>94</v>
      </c>
      <c r="B59" s="127">
        <v>1</v>
      </c>
      <c r="C59" s="130" t="s">
        <v>72</v>
      </c>
      <c r="D59" s="130" t="s">
        <v>73</v>
      </c>
      <c r="E59" s="130" t="s">
        <v>74</v>
      </c>
      <c r="F59" s="130" t="s">
        <v>73</v>
      </c>
      <c r="G59" s="71">
        <f t="shared" ref="G59:J59" si="108">AVERAGE(O59,S59,W59)</f>
        <v>90.383333333333326</v>
      </c>
      <c r="H59" s="71">
        <f t="shared" si="108"/>
        <v>99.75333333333333</v>
      </c>
      <c r="I59" s="71">
        <f t="shared" si="108"/>
        <v>93.61</v>
      </c>
      <c r="J59" s="72">
        <f t="shared" si="108"/>
        <v>99.87</v>
      </c>
      <c r="K59" s="71">
        <f t="shared" ref="K59:N59" si="109">STDEV(O59,S59,W59)</f>
        <v>0.29143323992525794</v>
      </c>
      <c r="L59" s="71">
        <f t="shared" si="109"/>
        <v>4.9328828623163221E-2</v>
      </c>
      <c r="M59" s="71">
        <f t="shared" si="109"/>
        <v>0.12124355652981839</v>
      </c>
      <c r="N59" s="72">
        <f t="shared" si="109"/>
        <v>5.0000000000004263E-2</v>
      </c>
      <c r="O59" s="71">
        <v>90.35</v>
      </c>
      <c r="P59" s="71">
        <v>99.72</v>
      </c>
      <c r="Q59" s="71">
        <v>93.74</v>
      </c>
      <c r="R59" s="72">
        <v>99.82</v>
      </c>
      <c r="S59" s="74">
        <v>90.69</v>
      </c>
      <c r="T59" s="74">
        <v>99.73</v>
      </c>
      <c r="U59" s="74">
        <v>93.59</v>
      </c>
      <c r="V59" s="75">
        <v>99.87</v>
      </c>
      <c r="W59" s="74">
        <v>90.11</v>
      </c>
      <c r="X59" s="74">
        <v>99.81</v>
      </c>
      <c r="Y59" s="74">
        <v>93.5</v>
      </c>
      <c r="Z59" s="74">
        <v>99.92</v>
      </c>
    </row>
    <row r="60" spans="1:26">
      <c r="A60" s="342"/>
      <c r="B60" s="132">
        <v>2</v>
      </c>
      <c r="C60" s="133" t="s">
        <v>72</v>
      </c>
      <c r="D60" s="133" t="s">
        <v>75</v>
      </c>
      <c r="E60" s="133" t="s">
        <v>74</v>
      </c>
      <c r="F60" s="133" t="s">
        <v>75</v>
      </c>
      <c r="G60" s="71">
        <f t="shared" ref="G60:J60" si="110">AVERAGE(O60,S60,W60)</f>
        <v>88.816666666666677</v>
      </c>
      <c r="H60" s="71">
        <f t="shared" si="110"/>
        <v>99.67</v>
      </c>
      <c r="I60" s="71">
        <f t="shared" si="110"/>
        <v>89.733333333333334</v>
      </c>
      <c r="J60" s="72">
        <f t="shared" si="110"/>
        <v>99.646666666666661</v>
      </c>
      <c r="K60" s="71">
        <f t="shared" ref="K60:N60" si="111">STDEV(O60,S60,W60)</f>
        <v>0.16041612554020929</v>
      </c>
      <c r="L60" s="71">
        <f t="shared" si="111"/>
        <v>3.0000000000001137E-2</v>
      </c>
      <c r="M60" s="71">
        <f t="shared" si="111"/>
        <v>0.6782575715267315</v>
      </c>
      <c r="N60" s="72">
        <f t="shared" si="111"/>
        <v>9.4516312525049398E-2</v>
      </c>
      <c r="O60" s="78">
        <v>88.97</v>
      </c>
      <c r="P60" s="78">
        <v>99.64</v>
      </c>
      <c r="Q60" s="78">
        <v>89.02</v>
      </c>
      <c r="R60" s="79">
        <v>99.54</v>
      </c>
      <c r="S60" s="81">
        <v>88.83</v>
      </c>
      <c r="T60" s="81">
        <v>99.67</v>
      </c>
      <c r="U60" s="81">
        <v>90.37</v>
      </c>
      <c r="V60" s="82">
        <v>99.72</v>
      </c>
      <c r="W60" s="81">
        <v>88.65</v>
      </c>
      <c r="X60" s="81">
        <v>99.7</v>
      </c>
      <c r="Y60" s="81">
        <v>89.81</v>
      </c>
      <c r="Z60" s="81">
        <v>99.68</v>
      </c>
    </row>
    <row r="61" spans="1:26">
      <c r="A61" s="342"/>
      <c r="B61" s="132">
        <v>3</v>
      </c>
      <c r="C61" s="133" t="s">
        <v>72</v>
      </c>
      <c r="D61" s="133" t="s">
        <v>73</v>
      </c>
      <c r="E61" s="133" t="s">
        <v>74</v>
      </c>
      <c r="F61" s="133" t="s">
        <v>75</v>
      </c>
      <c r="G61" s="71">
        <f t="shared" ref="G61:J61" si="112">AVERAGE(O61,S61,W61)</f>
        <v>89.219999999999985</v>
      </c>
      <c r="H61" s="71">
        <f t="shared" si="112"/>
        <v>99.673333333333332</v>
      </c>
      <c r="I61" s="71">
        <f t="shared" si="112"/>
        <v>93.653333333333322</v>
      </c>
      <c r="J61" s="72">
        <f t="shared" si="112"/>
        <v>99.87</v>
      </c>
      <c r="K61" s="71">
        <f t="shared" ref="K61:N61" si="113">STDEV(O61,S61,W61)</f>
        <v>0.32924155266308663</v>
      </c>
      <c r="L61" s="71">
        <f t="shared" si="113"/>
        <v>5.0332229568469181E-2</v>
      </c>
      <c r="M61" s="71">
        <f t="shared" si="113"/>
        <v>0.14742229591663464</v>
      </c>
      <c r="N61" s="72">
        <f t="shared" si="113"/>
        <v>3.4641016151378858E-2</v>
      </c>
      <c r="O61" s="83">
        <v>89.42</v>
      </c>
      <c r="P61" s="83">
        <v>99.72</v>
      </c>
      <c r="Q61" s="83">
        <v>93.6</v>
      </c>
      <c r="R61" s="84">
        <v>99.89</v>
      </c>
      <c r="S61" s="83">
        <v>88.84</v>
      </c>
      <c r="T61" s="83">
        <v>99.62</v>
      </c>
      <c r="U61" s="83">
        <v>93.82</v>
      </c>
      <c r="V61" s="84">
        <v>99.89</v>
      </c>
      <c r="W61" s="88">
        <v>89.4</v>
      </c>
      <c r="X61" s="88">
        <v>99.68</v>
      </c>
      <c r="Y61" s="83">
        <v>93.54</v>
      </c>
      <c r="Z61" s="83">
        <v>99.83</v>
      </c>
    </row>
    <row r="62" spans="1:26">
      <c r="A62" s="342"/>
      <c r="B62" s="132">
        <v>4</v>
      </c>
      <c r="C62" s="133" t="s">
        <v>72</v>
      </c>
      <c r="D62" s="133" t="s">
        <v>75</v>
      </c>
      <c r="E62" s="133" t="s">
        <v>74</v>
      </c>
      <c r="F62" s="133" t="s">
        <v>73</v>
      </c>
      <c r="G62" s="71">
        <f t="shared" ref="G62:J62" si="114">AVERAGE(O62,S62,W62)</f>
        <v>90.320000000000007</v>
      </c>
      <c r="H62" s="71">
        <f t="shared" si="114"/>
        <v>99.723333333333343</v>
      </c>
      <c r="I62" s="71">
        <f t="shared" si="114"/>
        <v>88.523333333333355</v>
      </c>
      <c r="J62" s="72">
        <f t="shared" si="114"/>
        <v>99.493333333333339</v>
      </c>
      <c r="K62" s="71">
        <f t="shared" ref="K62:N62" si="115">STDEV(O62,S62,W62)</f>
        <v>1.0095048291117787</v>
      </c>
      <c r="L62" s="71">
        <f t="shared" si="115"/>
        <v>6.5064070986482009E-2</v>
      </c>
      <c r="M62" s="71">
        <f t="shared" si="115"/>
        <v>1.7105067475263964</v>
      </c>
      <c r="N62" s="72">
        <f t="shared" si="115"/>
        <v>0.2030599254735701</v>
      </c>
      <c r="O62" s="83">
        <v>89.17</v>
      </c>
      <c r="P62" s="83">
        <v>99.66</v>
      </c>
      <c r="Q62" s="83">
        <v>89.14</v>
      </c>
      <c r="R62" s="84">
        <v>99.59</v>
      </c>
      <c r="S62" s="83">
        <v>90.73</v>
      </c>
      <c r="T62" s="83">
        <v>99.72</v>
      </c>
      <c r="U62" s="83">
        <v>86.59</v>
      </c>
      <c r="V62" s="84">
        <v>99.26</v>
      </c>
      <c r="W62" s="83">
        <v>91.06</v>
      </c>
      <c r="X62" s="83">
        <v>99.79</v>
      </c>
      <c r="Y62" s="83">
        <v>89.84</v>
      </c>
      <c r="Z62" s="83">
        <v>99.63</v>
      </c>
    </row>
    <row r="63" spans="1:26">
      <c r="A63" s="342"/>
      <c r="B63" s="132">
        <v>5</v>
      </c>
      <c r="C63" s="133" t="s">
        <v>77</v>
      </c>
      <c r="D63" s="133" t="s">
        <v>73</v>
      </c>
      <c r="E63" s="133" t="s">
        <v>74</v>
      </c>
      <c r="F63" s="133" t="s">
        <v>73</v>
      </c>
      <c r="G63" s="71">
        <f t="shared" ref="G63:J63" si="116">AVERAGE(O63,S63,W63)</f>
        <v>90.373333333333335</v>
      </c>
      <c r="H63" s="71">
        <f t="shared" si="116"/>
        <v>99.776666666666657</v>
      </c>
      <c r="I63" s="71">
        <f t="shared" si="116"/>
        <v>92.23</v>
      </c>
      <c r="J63" s="72">
        <f t="shared" si="116"/>
        <v>99.81</v>
      </c>
      <c r="K63" s="71">
        <f t="shared" ref="K63:N63" si="117">STDEV(O63,S63,W63)</f>
        <v>0.41932485418030491</v>
      </c>
      <c r="L63" s="71">
        <f t="shared" si="117"/>
        <v>4.0414518843272795E-2</v>
      </c>
      <c r="M63" s="71">
        <f t="shared" si="117"/>
        <v>0.71756532803641027</v>
      </c>
      <c r="N63" s="72">
        <f t="shared" si="117"/>
        <v>4.3588989435404589E-2</v>
      </c>
      <c r="O63" s="78">
        <v>90.64</v>
      </c>
      <c r="P63" s="78">
        <v>99.77</v>
      </c>
      <c r="Q63" s="78">
        <v>92.35</v>
      </c>
      <c r="R63" s="79">
        <v>99.83</v>
      </c>
      <c r="S63" s="81">
        <v>90.59</v>
      </c>
      <c r="T63" s="81">
        <v>99.74</v>
      </c>
      <c r="U63" s="81">
        <v>91.46</v>
      </c>
      <c r="V63" s="82">
        <v>99.76</v>
      </c>
      <c r="W63" s="81">
        <v>89.89</v>
      </c>
      <c r="X63" s="81">
        <v>99.82</v>
      </c>
      <c r="Y63" s="81">
        <v>92.88</v>
      </c>
      <c r="Z63" s="81">
        <v>99.84</v>
      </c>
    </row>
    <row r="64" spans="1:26">
      <c r="A64" s="342"/>
      <c r="B64" s="132">
        <v>6</v>
      </c>
      <c r="C64" s="133" t="s">
        <v>77</v>
      </c>
      <c r="D64" s="133" t="s">
        <v>75</v>
      </c>
      <c r="E64" s="133" t="s">
        <v>74</v>
      </c>
      <c r="F64" s="133" t="s">
        <v>75</v>
      </c>
      <c r="G64" s="71">
        <f t="shared" ref="G64:J64" si="118">AVERAGE(O64,S64,W64)</f>
        <v>90.366666666666674</v>
      </c>
      <c r="H64" s="71">
        <f t="shared" si="118"/>
        <v>99.720000000000013</v>
      </c>
      <c r="I64" s="71">
        <f t="shared" si="118"/>
        <v>88.230000000000018</v>
      </c>
      <c r="J64" s="72">
        <f t="shared" si="118"/>
        <v>99.256666666666646</v>
      </c>
      <c r="K64" s="71">
        <f t="shared" ref="K64:N64" si="119">STDEV(O64,S64,W64)</f>
        <v>0.31469562013687752</v>
      </c>
      <c r="L64" s="71">
        <f t="shared" si="119"/>
        <v>4.9999999999997158E-2</v>
      </c>
      <c r="M64" s="71">
        <f t="shared" si="119"/>
        <v>1.7013817913684162</v>
      </c>
      <c r="N64" s="72">
        <f t="shared" si="119"/>
        <v>0.55518765596273423</v>
      </c>
      <c r="O64" s="78">
        <v>90.73</v>
      </c>
      <c r="P64" s="78">
        <v>99.72</v>
      </c>
      <c r="Q64" s="78">
        <v>86.45</v>
      </c>
      <c r="R64" s="79">
        <v>98.619999999999905</v>
      </c>
      <c r="S64" s="81">
        <v>90.19</v>
      </c>
      <c r="T64" s="81">
        <v>99.77</v>
      </c>
      <c r="U64" s="81">
        <v>88.4</v>
      </c>
      <c r="V64" s="82">
        <v>99.51</v>
      </c>
      <c r="W64" s="81">
        <v>90.18</v>
      </c>
      <c r="X64" s="81">
        <v>99.67</v>
      </c>
      <c r="Y64" s="81">
        <v>89.84</v>
      </c>
      <c r="Z64" s="81">
        <v>99.64</v>
      </c>
    </row>
    <row r="65" spans="1:26">
      <c r="A65" s="342"/>
      <c r="B65" s="132">
        <v>7</v>
      </c>
      <c r="C65" s="133" t="s">
        <v>77</v>
      </c>
      <c r="D65" s="133" t="s">
        <v>73</v>
      </c>
      <c r="E65" s="133" t="s">
        <v>74</v>
      </c>
      <c r="F65" s="133" t="s">
        <v>75</v>
      </c>
      <c r="G65" s="71">
        <f t="shared" ref="G65:J65" si="120">AVERAGE(O65,S65,W65)</f>
        <v>90.32</v>
      </c>
      <c r="H65" s="71">
        <f t="shared" si="120"/>
        <v>99.763333333333321</v>
      </c>
      <c r="I65" s="71">
        <f t="shared" si="120"/>
        <v>92.473333333333343</v>
      </c>
      <c r="J65" s="72">
        <f t="shared" si="120"/>
        <v>99.83</v>
      </c>
      <c r="K65" s="71">
        <f t="shared" ref="K65:N65" si="121">STDEV(O65,S65,W65)</f>
        <v>0.86417590801873367</v>
      </c>
      <c r="L65" s="71">
        <f t="shared" si="121"/>
        <v>3.7859388972004929E-2</v>
      </c>
      <c r="M65" s="71">
        <f t="shared" si="121"/>
        <v>0.87001915687720754</v>
      </c>
      <c r="N65" s="72">
        <f t="shared" si="121"/>
        <v>2.6457513110646012E-2</v>
      </c>
      <c r="O65" s="83">
        <v>91.08</v>
      </c>
      <c r="P65" s="83">
        <v>99.79</v>
      </c>
      <c r="Q65" s="83">
        <v>92.84</v>
      </c>
      <c r="R65" s="84">
        <v>99.82</v>
      </c>
      <c r="S65" s="83">
        <v>89.38</v>
      </c>
      <c r="T65" s="83">
        <v>99.72</v>
      </c>
      <c r="U65" s="88">
        <v>93.1</v>
      </c>
      <c r="V65" s="84">
        <v>99.86</v>
      </c>
      <c r="W65" s="83">
        <v>90.5</v>
      </c>
      <c r="X65" s="83">
        <v>99.78</v>
      </c>
      <c r="Y65" s="83">
        <v>91.48</v>
      </c>
      <c r="Z65" s="83">
        <v>99.81</v>
      </c>
    </row>
    <row r="66" spans="1:26">
      <c r="A66" s="342"/>
      <c r="B66" s="132">
        <v>8</v>
      </c>
      <c r="C66" s="133" t="s">
        <v>77</v>
      </c>
      <c r="D66" s="133" t="s">
        <v>75</v>
      </c>
      <c r="E66" s="133" t="s">
        <v>74</v>
      </c>
      <c r="F66" s="133" t="s">
        <v>73</v>
      </c>
      <c r="G66" s="71">
        <f t="shared" ref="G66:J66" si="122">AVERAGE(O66,S66,W66)</f>
        <v>90.68</v>
      </c>
      <c r="H66" s="71">
        <f t="shared" si="122"/>
        <v>99.76</v>
      </c>
      <c r="I66" s="71">
        <f t="shared" si="122"/>
        <v>89.969999999999985</v>
      </c>
      <c r="J66" s="72">
        <f t="shared" si="122"/>
        <v>99.63666666666667</v>
      </c>
      <c r="K66" s="71">
        <f t="shared" ref="K66:N66" si="123">STDEV(O66,S66,W66)</f>
        <v>0.64156059729381243</v>
      </c>
      <c r="L66" s="71">
        <f t="shared" si="123"/>
        <v>3.0000000000001137E-2</v>
      </c>
      <c r="M66" s="71">
        <f t="shared" si="123"/>
        <v>0.85293610546160181</v>
      </c>
      <c r="N66" s="72">
        <f t="shared" si="123"/>
        <v>9.291573243177198E-2</v>
      </c>
      <c r="O66" s="83">
        <v>90.12</v>
      </c>
      <c r="P66" s="83">
        <v>99.73</v>
      </c>
      <c r="Q66" s="83">
        <v>89.27</v>
      </c>
      <c r="R66" s="84">
        <v>99.56</v>
      </c>
      <c r="S66" s="83">
        <v>90.54</v>
      </c>
      <c r="T66" s="83">
        <v>99.79</v>
      </c>
      <c r="U66" s="83">
        <v>90.92</v>
      </c>
      <c r="V66" s="84">
        <v>99.74</v>
      </c>
      <c r="W66" s="83">
        <v>91.38</v>
      </c>
      <c r="X66" s="83">
        <v>99.76</v>
      </c>
      <c r="Y66" s="83">
        <v>89.72</v>
      </c>
      <c r="Z66" s="83">
        <v>99.61</v>
      </c>
    </row>
    <row r="67" spans="1:26">
      <c r="A67" s="342"/>
      <c r="B67" s="132">
        <v>9</v>
      </c>
      <c r="C67" s="133" t="s">
        <v>78</v>
      </c>
      <c r="D67" s="133" t="s">
        <v>73</v>
      </c>
      <c r="E67" s="133" t="s">
        <v>74</v>
      </c>
      <c r="F67" s="133" t="s">
        <v>73</v>
      </c>
      <c r="G67" s="71">
        <f t="shared" ref="G67:J67" si="124">AVERAGE(O67,S67,W67)</f>
        <v>90.126666666666665</v>
      </c>
      <c r="H67" s="71">
        <f t="shared" si="124"/>
        <v>99.716666666666654</v>
      </c>
      <c r="I67" s="71">
        <f t="shared" si="124"/>
        <v>93.92</v>
      </c>
      <c r="J67" s="72">
        <f t="shared" si="124"/>
        <v>99.873333333333335</v>
      </c>
      <c r="K67" s="71">
        <f t="shared" ref="K67:N67" si="125">STDEV(O67,S67,W67)</f>
        <v>0.54784426010804643</v>
      </c>
      <c r="L67" s="71">
        <f t="shared" si="125"/>
        <v>9.0184995056461478E-2</v>
      </c>
      <c r="M67" s="71">
        <f t="shared" si="125"/>
        <v>0.14000000000000057</v>
      </c>
      <c r="N67" s="72">
        <f t="shared" si="125"/>
        <v>4.1633319989322334E-2</v>
      </c>
      <c r="O67" s="78">
        <v>90.02</v>
      </c>
      <c r="P67" s="78">
        <v>99.81</v>
      </c>
      <c r="Q67" s="78">
        <v>93.92</v>
      </c>
      <c r="R67" s="79">
        <v>99.84</v>
      </c>
      <c r="S67" s="81">
        <v>90.72</v>
      </c>
      <c r="T67" s="81">
        <v>99.71</v>
      </c>
      <c r="U67" s="81">
        <v>93.78</v>
      </c>
      <c r="V67" s="82">
        <v>99.92</v>
      </c>
      <c r="W67" s="81">
        <v>89.64</v>
      </c>
      <c r="X67" s="81">
        <v>99.63</v>
      </c>
      <c r="Y67" s="81">
        <v>94.06</v>
      </c>
      <c r="Z67" s="81">
        <v>99.86</v>
      </c>
    </row>
    <row r="68" spans="1:26">
      <c r="A68" s="342"/>
      <c r="B68" s="132">
        <v>10</v>
      </c>
      <c r="C68" s="133" t="s">
        <v>78</v>
      </c>
      <c r="D68" s="133" t="s">
        <v>75</v>
      </c>
      <c r="E68" s="133" t="s">
        <v>74</v>
      </c>
      <c r="F68" s="133" t="s">
        <v>75</v>
      </c>
      <c r="G68" s="71">
        <f t="shared" ref="G68:J68" si="126">AVERAGE(O68,S68,W68)</f>
        <v>89.42</v>
      </c>
      <c r="H68" s="71">
        <f t="shared" si="126"/>
        <v>99.65666666666668</v>
      </c>
      <c r="I68" s="71">
        <f t="shared" si="126"/>
        <v>90.866666666666674</v>
      </c>
      <c r="J68" s="72">
        <f t="shared" si="126"/>
        <v>99.600000000000009</v>
      </c>
      <c r="K68" s="71">
        <f t="shared" ref="K68:N68" si="127">STDEV(O68,S68,W68)</f>
        <v>0.34073450074801309</v>
      </c>
      <c r="L68" s="71">
        <f t="shared" si="127"/>
        <v>7.7674534651544655E-2</v>
      </c>
      <c r="M68" s="71">
        <f t="shared" si="127"/>
        <v>1.0488724104166993</v>
      </c>
      <c r="N68" s="72">
        <f t="shared" si="127"/>
        <v>0.10148891565092441</v>
      </c>
      <c r="O68" s="78">
        <v>89.66</v>
      </c>
      <c r="P68" s="78">
        <v>99.72</v>
      </c>
      <c r="Q68" s="78">
        <v>89.66</v>
      </c>
      <c r="R68" s="79">
        <v>99.49</v>
      </c>
      <c r="S68" s="81">
        <v>89.03</v>
      </c>
      <c r="T68" s="81">
        <v>99.57</v>
      </c>
      <c r="U68" s="81">
        <v>91.56</v>
      </c>
      <c r="V68" s="82">
        <v>99.69</v>
      </c>
      <c r="W68" s="81">
        <v>89.57</v>
      </c>
      <c r="X68" s="81">
        <v>99.68</v>
      </c>
      <c r="Y68" s="81">
        <v>91.38</v>
      </c>
      <c r="Z68" s="81">
        <v>99.62</v>
      </c>
    </row>
    <row r="69" spans="1:26">
      <c r="A69" s="342"/>
      <c r="B69" s="132">
        <v>11</v>
      </c>
      <c r="C69" s="133" t="s">
        <v>78</v>
      </c>
      <c r="D69" s="133" t="s">
        <v>73</v>
      </c>
      <c r="E69" s="133" t="s">
        <v>74</v>
      </c>
      <c r="F69" s="133" t="s">
        <v>75</v>
      </c>
      <c r="G69" s="71">
        <f t="shared" ref="G69:J69" si="128">AVERAGE(O69,S69,W69)</f>
        <v>89.323333333333338</v>
      </c>
      <c r="H69" s="71">
        <f t="shared" si="128"/>
        <v>99.69</v>
      </c>
      <c r="I69" s="71">
        <f t="shared" si="128"/>
        <v>93.316666666666663</v>
      </c>
      <c r="J69" s="72">
        <f t="shared" si="128"/>
        <v>99.883333333333326</v>
      </c>
      <c r="K69" s="71">
        <f t="shared" ref="K69:N69" si="129">STDEV(O69,S69,W69)</f>
        <v>0.449925919828291</v>
      </c>
      <c r="L69" s="71">
        <f t="shared" si="129"/>
        <v>6.9282032302757715E-2</v>
      </c>
      <c r="M69" s="71">
        <f t="shared" si="129"/>
        <v>0.50063293272949116</v>
      </c>
      <c r="N69" s="72">
        <f t="shared" si="129"/>
        <v>2.516611478423459E-2</v>
      </c>
      <c r="O69" s="78">
        <v>89.4</v>
      </c>
      <c r="P69" s="78">
        <v>99.73</v>
      </c>
      <c r="Q69" s="78">
        <v>93.73</v>
      </c>
      <c r="R69" s="79">
        <v>99.88</v>
      </c>
      <c r="S69" s="81">
        <v>88.84</v>
      </c>
      <c r="T69" s="81">
        <v>99.61</v>
      </c>
      <c r="U69" s="81">
        <v>92.76</v>
      </c>
      <c r="V69" s="82">
        <v>99.86</v>
      </c>
      <c r="W69" s="81">
        <v>89.73</v>
      </c>
      <c r="X69" s="81">
        <v>99.73</v>
      </c>
      <c r="Y69" s="81">
        <v>93.46</v>
      </c>
      <c r="Z69" s="81">
        <v>99.91</v>
      </c>
    </row>
    <row r="70" spans="1:26">
      <c r="A70" s="342"/>
      <c r="B70" s="132">
        <v>12</v>
      </c>
      <c r="C70" s="133" t="s">
        <v>78</v>
      </c>
      <c r="D70" s="133" t="s">
        <v>75</v>
      </c>
      <c r="E70" s="133" t="s">
        <v>74</v>
      </c>
      <c r="F70" s="133" t="s">
        <v>73</v>
      </c>
      <c r="G70" s="71">
        <f t="shared" ref="G70:J70" si="130">AVERAGE(O70,S70,W70)</f>
        <v>90.373333333333335</v>
      </c>
      <c r="H70" s="71">
        <f t="shared" si="130"/>
        <v>99.773333333333326</v>
      </c>
      <c r="I70" s="71">
        <f t="shared" si="130"/>
        <v>90.089999999999989</v>
      </c>
      <c r="J70" s="72">
        <f t="shared" si="130"/>
        <v>96.40666666666668</v>
      </c>
      <c r="K70" s="71">
        <f t="shared" ref="K70:N70" si="131">STDEV(O70,S70,W70)</f>
        <v>0.81586355068315775</v>
      </c>
      <c r="L70" s="71">
        <f t="shared" si="131"/>
        <v>8.6216781042511473E-2</v>
      </c>
      <c r="M70" s="71">
        <f t="shared" si="131"/>
        <v>0.19924858845171198</v>
      </c>
      <c r="N70" s="72">
        <f t="shared" si="131"/>
        <v>5.3671438711230195</v>
      </c>
      <c r="O70" s="78">
        <v>91.21</v>
      </c>
      <c r="P70" s="78">
        <v>99.85</v>
      </c>
      <c r="Q70" s="78">
        <v>89.86</v>
      </c>
      <c r="R70" s="79">
        <v>99.42</v>
      </c>
      <c r="S70" s="81">
        <v>89.58</v>
      </c>
      <c r="T70" s="81">
        <v>99.68</v>
      </c>
      <c r="U70" s="81">
        <v>90.21</v>
      </c>
      <c r="V70" s="82">
        <v>90.21</v>
      </c>
      <c r="W70" s="81">
        <v>90.33</v>
      </c>
      <c r="X70" s="81">
        <v>99.79</v>
      </c>
      <c r="Y70" s="81">
        <v>90.2</v>
      </c>
      <c r="Z70" s="81">
        <v>99.59</v>
      </c>
    </row>
    <row r="71" spans="1:26">
      <c r="A71" s="342"/>
      <c r="B71" s="132">
        <v>13</v>
      </c>
      <c r="C71" s="133" t="s">
        <v>72</v>
      </c>
      <c r="D71" s="133" t="s">
        <v>73</v>
      </c>
      <c r="E71" s="133" t="s">
        <v>80</v>
      </c>
      <c r="F71" s="133" t="s">
        <v>73</v>
      </c>
      <c r="G71" s="71">
        <f t="shared" ref="G71:J71" si="132">AVERAGE(O71,S71,W71)</f>
        <v>85.929999999999993</v>
      </c>
      <c r="H71" s="71">
        <f t="shared" si="132"/>
        <v>99.34333333333332</v>
      </c>
      <c r="I71" s="71">
        <f t="shared" si="132"/>
        <v>92.356666666666669</v>
      </c>
      <c r="J71" s="72">
        <f t="shared" si="132"/>
        <v>99.803333333333327</v>
      </c>
      <c r="K71" s="71">
        <f t="shared" ref="K71:N71" si="133">STDEV(O71,S71,W71)</f>
        <v>0.41999999999999965</v>
      </c>
      <c r="L71" s="71">
        <f t="shared" si="133"/>
        <v>0.10408329997330072</v>
      </c>
      <c r="M71" s="71">
        <f t="shared" si="133"/>
        <v>0.11930353445448466</v>
      </c>
      <c r="N71" s="72">
        <f t="shared" si="133"/>
        <v>3.7859388971996796E-2</v>
      </c>
      <c r="O71" s="78">
        <v>85.75</v>
      </c>
      <c r="P71" s="78">
        <v>99.31</v>
      </c>
      <c r="Q71" s="78">
        <v>92.49</v>
      </c>
      <c r="R71" s="79">
        <v>99.82</v>
      </c>
      <c r="S71" s="83">
        <v>86.41</v>
      </c>
      <c r="T71" s="83">
        <v>99.46</v>
      </c>
      <c r="U71" s="81">
        <v>92.26</v>
      </c>
      <c r="V71" s="82">
        <v>99.83</v>
      </c>
      <c r="W71" s="81">
        <v>85.63</v>
      </c>
      <c r="X71" s="81">
        <v>99.26</v>
      </c>
      <c r="Y71" s="81">
        <v>92.32</v>
      </c>
      <c r="Z71" s="81">
        <v>99.76</v>
      </c>
    </row>
    <row r="72" spans="1:26">
      <c r="A72" s="342"/>
      <c r="B72" s="132">
        <v>14</v>
      </c>
      <c r="C72" s="133" t="s">
        <v>72</v>
      </c>
      <c r="D72" s="133" t="s">
        <v>75</v>
      </c>
      <c r="E72" s="133" t="s">
        <v>80</v>
      </c>
      <c r="F72" s="133" t="s">
        <v>75</v>
      </c>
      <c r="G72" s="71">
        <f t="shared" ref="G72:J72" si="134">AVERAGE(O72,S72,W72)</f>
        <v>10</v>
      </c>
      <c r="H72" s="71">
        <f t="shared" si="134"/>
        <v>52.563333333333333</v>
      </c>
      <c r="I72" s="71">
        <f t="shared" si="134"/>
        <v>15.763333333333334</v>
      </c>
      <c r="J72" s="72">
        <f t="shared" si="134"/>
        <v>56.99</v>
      </c>
      <c r="K72" s="71">
        <f t="shared" ref="K72:N72" si="135">STDEV(O72,S72,W72)</f>
        <v>0</v>
      </c>
      <c r="L72" s="71">
        <f t="shared" si="135"/>
        <v>2.7860425935963944</v>
      </c>
      <c r="M72" s="71">
        <f t="shared" si="135"/>
        <v>2.074471820327616</v>
      </c>
      <c r="N72" s="72">
        <f t="shared" si="135"/>
        <v>1.3649542116862379</v>
      </c>
      <c r="O72" s="78">
        <v>10</v>
      </c>
      <c r="P72" s="78">
        <v>55.66</v>
      </c>
      <c r="Q72" s="78">
        <v>13.98</v>
      </c>
      <c r="R72" s="79">
        <v>58.48</v>
      </c>
      <c r="S72" s="83">
        <v>10</v>
      </c>
      <c r="T72" s="83">
        <v>50.26</v>
      </c>
      <c r="U72" s="81">
        <v>15.27</v>
      </c>
      <c r="V72" s="82">
        <v>55.8</v>
      </c>
      <c r="W72" s="81">
        <v>10</v>
      </c>
      <c r="X72" s="81">
        <v>51.77</v>
      </c>
      <c r="Y72" s="81">
        <v>18.04</v>
      </c>
      <c r="Z72" s="81">
        <v>56.69</v>
      </c>
    </row>
    <row r="73" spans="1:26">
      <c r="A73" s="342"/>
      <c r="B73" s="132">
        <v>15</v>
      </c>
      <c r="C73" s="133" t="s">
        <v>78</v>
      </c>
      <c r="D73" s="133" t="s">
        <v>73</v>
      </c>
      <c r="E73" s="133" t="s">
        <v>80</v>
      </c>
      <c r="F73" s="133" t="s">
        <v>73</v>
      </c>
      <c r="G73" s="71">
        <f t="shared" ref="G73:J73" si="136">AVERAGE(O73,S73,W73)</f>
        <v>84.423333333333332</v>
      </c>
      <c r="H73" s="71">
        <f t="shared" si="136"/>
        <v>99.110000000000014</v>
      </c>
      <c r="I73" s="71">
        <f t="shared" si="136"/>
        <v>92.133333333333326</v>
      </c>
      <c r="J73" s="72">
        <f t="shared" si="136"/>
        <v>99.74666666666667</v>
      </c>
      <c r="K73" s="71">
        <f t="shared" ref="K73:N73" si="137">STDEV(O73,S73,W73)</f>
        <v>0.72002314777605014</v>
      </c>
      <c r="L73" s="71">
        <f t="shared" si="137"/>
        <v>2.6457513110646012E-2</v>
      </c>
      <c r="M73" s="71">
        <f t="shared" si="137"/>
        <v>0.2742869543622794</v>
      </c>
      <c r="N73" s="72">
        <f t="shared" si="137"/>
        <v>4.0414518843280414E-2</v>
      </c>
      <c r="O73" s="78">
        <v>83.7</v>
      </c>
      <c r="P73" s="78">
        <v>99.09</v>
      </c>
      <c r="Q73" s="78">
        <v>92.25</v>
      </c>
      <c r="R73" s="79">
        <v>99.79</v>
      </c>
      <c r="S73" s="83">
        <v>84.43</v>
      </c>
      <c r="T73" s="83">
        <v>99.14</v>
      </c>
      <c r="U73" s="81">
        <v>91.82</v>
      </c>
      <c r="V73" s="82">
        <v>99.74</v>
      </c>
      <c r="W73" s="81">
        <v>85.14</v>
      </c>
      <c r="X73" s="81">
        <v>99.1</v>
      </c>
      <c r="Y73" s="81">
        <v>92.33</v>
      </c>
      <c r="Z73" s="81">
        <v>99.71</v>
      </c>
    </row>
    <row r="74" spans="1:26">
      <c r="A74" s="342"/>
      <c r="B74" s="132">
        <v>16</v>
      </c>
      <c r="C74" s="133" t="s">
        <v>78</v>
      </c>
      <c r="D74" s="133" t="s">
        <v>75</v>
      </c>
      <c r="E74" s="133" t="s">
        <v>80</v>
      </c>
      <c r="F74" s="133" t="s">
        <v>75</v>
      </c>
      <c r="G74" s="71">
        <f t="shared" ref="G74:J74" si="138">AVERAGE(O74,S74,W74)</f>
        <v>10</v>
      </c>
      <c r="H74" s="71">
        <f t="shared" si="138"/>
        <v>52.483333333333327</v>
      </c>
      <c r="I74" s="71">
        <f t="shared" si="138"/>
        <v>14.633333333333333</v>
      </c>
      <c r="J74" s="72">
        <f t="shared" si="138"/>
        <v>60.78</v>
      </c>
      <c r="K74" s="71">
        <f t="shared" ref="K74:N74" si="139">STDEV(O74,S74,W74)</f>
        <v>0</v>
      </c>
      <c r="L74" s="71">
        <f t="shared" si="139"/>
        <v>2.2233833077841814</v>
      </c>
      <c r="M74" s="71">
        <f t="shared" si="139"/>
        <v>1.9025333987431856</v>
      </c>
      <c r="N74" s="72">
        <f t="shared" si="139"/>
        <v>1.2946428078817731</v>
      </c>
      <c r="O74" s="78">
        <v>10</v>
      </c>
      <c r="P74" s="78">
        <v>53.2</v>
      </c>
      <c r="Q74" s="78">
        <v>13.51</v>
      </c>
      <c r="R74" s="79">
        <v>61.19</v>
      </c>
      <c r="S74" s="83">
        <v>10</v>
      </c>
      <c r="T74" s="83">
        <v>49.99</v>
      </c>
      <c r="U74" s="81">
        <v>16.829999999999998</v>
      </c>
      <c r="V74" s="82">
        <v>59.33</v>
      </c>
      <c r="W74" s="81">
        <v>10</v>
      </c>
      <c r="X74" s="81">
        <v>54.26</v>
      </c>
      <c r="Y74" s="81">
        <v>13.56</v>
      </c>
      <c r="Z74" s="81">
        <v>61.82</v>
      </c>
    </row>
    <row r="75" spans="1:26">
      <c r="A75" s="342"/>
      <c r="B75" s="132">
        <v>17</v>
      </c>
      <c r="C75" s="133" t="s">
        <v>78</v>
      </c>
      <c r="D75" s="133" t="s">
        <v>73</v>
      </c>
      <c r="E75" s="133" t="s">
        <v>80</v>
      </c>
      <c r="F75" s="133" t="s">
        <v>75</v>
      </c>
      <c r="G75" s="71">
        <f t="shared" ref="G75:J75" si="140">AVERAGE(O75,S75,W75)</f>
        <v>63.426666666666669</v>
      </c>
      <c r="H75" s="71">
        <f t="shared" si="140"/>
        <v>93.073333333333338</v>
      </c>
      <c r="I75" s="71">
        <f t="shared" si="140"/>
        <v>91.873333333333335</v>
      </c>
      <c r="J75" s="72">
        <f t="shared" si="140"/>
        <v>99.719999999999985</v>
      </c>
      <c r="K75" s="71">
        <f t="shared" ref="K75:N75" si="141">STDEV(O75,S75,W75)</f>
        <v>1.1634574909868107</v>
      </c>
      <c r="L75" s="71">
        <f t="shared" si="141"/>
        <v>1.2208740038731802</v>
      </c>
      <c r="M75" s="71">
        <f t="shared" si="141"/>
        <v>0.69959512100452115</v>
      </c>
      <c r="N75" s="72">
        <f t="shared" si="141"/>
        <v>0.10440306508910514</v>
      </c>
      <c r="O75" s="78">
        <v>64.77</v>
      </c>
      <c r="P75" s="78">
        <v>94.46</v>
      </c>
      <c r="Q75" s="78">
        <v>91.25</v>
      </c>
      <c r="R75" s="79">
        <v>99.67</v>
      </c>
      <c r="S75" s="83">
        <v>62.74</v>
      </c>
      <c r="T75" s="83">
        <v>92.6</v>
      </c>
      <c r="U75" s="81">
        <v>92.63</v>
      </c>
      <c r="V75" s="82">
        <v>99.84</v>
      </c>
      <c r="W75" s="81">
        <v>62.77</v>
      </c>
      <c r="X75" s="81">
        <v>92.16</v>
      </c>
      <c r="Y75" s="81">
        <v>91.74</v>
      </c>
      <c r="Z75" s="81">
        <v>99.65</v>
      </c>
    </row>
    <row r="76" spans="1:26">
      <c r="A76" s="342"/>
      <c r="B76" s="132">
        <v>18</v>
      </c>
      <c r="C76" s="133" t="s">
        <v>78</v>
      </c>
      <c r="D76" s="133" t="s">
        <v>75</v>
      </c>
      <c r="E76" s="133" t="s">
        <v>80</v>
      </c>
      <c r="F76" s="133" t="s">
        <v>73</v>
      </c>
      <c r="G76" s="71">
        <f t="shared" ref="G76:J76" si="142">AVERAGE(O76,S76,W76)</f>
        <v>84.586666666666659</v>
      </c>
      <c r="H76" s="71">
        <f t="shared" si="142"/>
        <v>98.956666666666663</v>
      </c>
      <c r="I76" s="71">
        <f t="shared" si="142"/>
        <v>85.7</v>
      </c>
      <c r="J76" s="72">
        <f t="shared" si="142"/>
        <v>99.023333333333326</v>
      </c>
      <c r="K76" s="71">
        <f t="shared" ref="K76:N76" si="143">STDEV(O76,S76,W76)</f>
        <v>0.8799052979345815</v>
      </c>
      <c r="L76" s="71">
        <f t="shared" si="143"/>
        <v>0.13503086067019901</v>
      </c>
      <c r="M76" s="71">
        <f t="shared" si="143"/>
        <v>2.1805503892366245</v>
      </c>
      <c r="N76" s="72">
        <f t="shared" si="143"/>
        <v>0.52538874496255594</v>
      </c>
      <c r="O76" s="78">
        <v>84.87</v>
      </c>
      <c r="P76" s="78">
        <v>99.09</v>
      </c>
      <c r="Q76" s="78">
        <v>83.34</v>
      </c>
      <c r="R76" s="79">
        <v>98.42</v>
      </c>
      <c r="S76" s="83">
        <v>83.6</v>
      </c>
      <c r="T76" s="83">
        <v>98.82</v>
      </c>
      <c r="U76" s="81">
        <v>87.64</v>
      </c>
      <c r="V76" s="82">
        <v>99.38</v>
      </c>
      <c r="W76" s="81">
        <v>85.29</v>
      </c>
      <c r="X76" s="81">
        <v>98.96</v>
      </c>
      <c r="Y76" s="81">
        <v>86.12</v>
      </c>
      <c r="Z76" s="81">
        <v>99.27</v>
      </c>
    </row>
    <row r="77" spans="1:26"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>
      <c r="B78" s="24"/>
      <c r="C78" s="24"/>
      <c r="D78" s="24"/>
      <c r="E78" s="24"/>
      <c r="F78" s="24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7"/>
      <c r="U78" s="25"/>
      <c r="V78" s="25"/>
      <c r="W78" s="25"/>
      <c r="X78" s="25"/>
      <c r="Y78" s="25"/>
      <c r="Z78" s="25"/>
    </row>
    <row r="79" spans="1:26">
      <c r="B79" s="24"/>
      <c r="C79" s="24"/>
      <c r="D79" s="24"/>
      <c r="E79" s="24"/>
      <c r="F79" s="24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7"/>
      <c r="U79" s="25"/>
      <c r="V79" s="27"/>
      <c r="W79" s="27"/>
      <c r="X79" s="27"/>
      <c r="Y79" s="27"/>
      <c r="Z79" s="27"/>
    </row>
    <row r="80" spans="1:26">
      <c r="B80" s="24"/>
      <c r="C80" s="24"/>
      <c r="D80" s="24"/>
      <c r="E80" s="24"/>
      <c r="F80" s="24"/>
      <c r="G80" s="25"/>
      <c r="Z80" s="27"/>
    </row>
    <row r="81" spans="7:26">
      <c r="H81" s="419" t="s">
        <v>101</v>
      </c>
      <c r="I81" s="342"/>
      <c r="J81" s="420" t="s">
        <v>102</v>
      </c>
      <c r="K81" s="342"/>
      <c r="L81" s="428" t="s">
        <v>103</v>
      </c>
      <c r="M81" s="342"/>
      <c r="O81" s="25"/>
      <c r="P81" s="419" t="s">
        <v>101</v>
      </c>
      <c r="Q81" s="342"/>
      <c r="R81" s="420" t="s">
        <v>102</v>
      </c>
      <c r="S81" s="342"/>
      <c r="T81" s="25"/>
      <c r="U81" s="25"/>
      <c r="Z81" s="27"/>
    </row>
    <row r="82" spans="7:26">
      <c r="H82" s="59" t="s">
        <v>27</v>
      </c>
      <c r="I82" s="60" t="s">
        <v>38</v>
      </c>
      <c r="J82" s="59" t="s">
        <v>27</v>
      </c>
      <c r="K82" s="60" t="s">
        <v>38</v>
      </c>
      <c r="L82" s="151" t="s">
        <v>105</v>
      </c>
      <c r="M82" s="152" t="s">
        <v>106</v>
      </c>
      <c r="O82" s="25"/>
      <c r="P82" s="59" t="s">
        <v>27</v>
      </c>
      <c r="Q82" s="60" t="s">
        <v>38</v>
      </c>
      <c r="R82" s="59" t="s">
        <v>27</v>
      </c>
      <c r="S82" s="60" t="s">
        <v>38</v>
      </c>
      <c r="T82" s="25"/>
      <c r="U82" s="25"/>
    </row>
    <row r="83" spans="7:26">
      <c r="G83" s="153">
        <v>1</v>
      </c>
      <c r="H83" s="20">
        <f t="shared" ref="H83:H100" si="144">ABS(G5-G23)</f>
        <v>1.4400000000000261</v>
      </c>
      <c r="I83" s="20">
        <f t="shared" ref="I83:I100" si="145">ABS(I5-I23)</f>
        <v>1.2533333333333445</v>
      </c>
      <c r="J83" s="20">
        <f t="shared" ref="J83:J100" si="146">ABS(G41-G59)</f>
        <v>0.18000000000000682</v>
      </c>
      <c r="K83" s="20">
        <f t="shared" ref="K83:K100" si="147">ABS(I41-I59)</f>
        <v>0.13999999999998636</v>
      </c>
      <c r="L83" s="54">
        <f t="shared" ref="L83:L100" si="148">ABS(H83-I83)</f>
        <v>0.18666666666668164</v>
      </c>
      <c r="M83" s="56">
        <f t="shared" ref="M83:M100" si="149">ABS(J83-K83)</f>
        <v>4.0000000000020464E-2</v>
      </c>
      <c r="O83" s="156" t="s">
        <v>110</v>
      </c>
      <c r="P83" s="20">
        <f t="shared" ref="P83:S83" si="150">ABS(H83-H87)</f>
        <v>0.19666666666668675</v>
      </c>
      <c r="Q83" s="20">
        <f t="shared" si="150"/>
        <v>0.32333333333333769</v>
      </c>
      <c r="R83" s="20">
        <f t="shared" si="150"/>
        <v>6.6666666666748142E-3</v>
      </c>
      <c r="S83" s="20">
        <f t="shared" si="150"/>
        <v>0.96333333333333826</v>
      </c>
      <c r="T83" s="421" t="s">
        <v>111</v>
      </c>
      <c r="U83" s="342"/>
    </row>
    <row r="84" spans="7:26">
      <c r="G84" s="159">
        <v>2</v>
      </c>
      <c r="H84" s="20">
        <f t="shared" si="144"/>
        <v>67.903333333333322</v>
      </c>
      <c r="I84" s="20">
        <f t="shared" si="145"/>
        <v>75.913333333333327</v>
      </c>
      <c r="J84" s="20">
        <f t="shared" si="146"/>
        <v>1.6266666666666509</v>
      </c>
      <c r="K84" s="20">
        <f t="shared" si="147"/>
        <v>0.17666666666667652</v>
      </c>
      <c r="L84" s="54">
        <f t="shared" si="148"/>
        <v>8.0100000000000051</v>
      </c>
      <c r="M84" s="56">
        <f t="shared" si="149"/>
        <v>1.4499999999999744</v>
      </c>
      <c r="O84" s="156" t="s">
        <v>112</v>
      </c>
      <c r="P84" s="20">
        <f t="shared" ref="P84:S84" si="151">ABS(H84-H88)</f>
        <v>56.476666666666659</v>
      </c>
      <c r="Q84" s="20">
        <f t="shared" si="151"/>
        <v>68.013333333333321</v>
      </c>
      <c r="R84" s="20">
        <f t="shared" si="151"/>
        <v>1.5299999999999727</v>
      </c>
      <c r="S84" s="20">
        <f t="shared" si="151"/>
        <v>9.9999999999965894E-2</v>
      </c>
      <c r="T84" s="342"/>
      <c r="U84" s="342"/>
      <c r="Z84" s="108"/>
    </row>
    <row r="85" spans="7:26">
      <c r="G85" s="159">
        <v>3</v>
      </c>
      <c r="H85" s="20">
        <f t="shared" si="144"/>
        <v>67.69</v>
      </c>
      <c r="I85" s="20">
        <f t="shared" si="145"/>
        <v>79.096666666666664</v>
      </c>
      <c r="J85" s="20">
        <f t="shared" si="146"/>
        <v>0.86666666666667425</v>
      </c>
      <c r="K85" s="20">
        <f t="shared" si="147"/>
        <v>8.0000000000012506E-2</v>
      </c>
      <c r="L85" s="54">
        <f t="shared" si="148"/>
        <v>11.406666666666666</v>
      </c>
      <c r="M85" s="56">
        <f t="shared" si="149"/>
        <v>0.78666666666666174</v>
      </c>
      <c r="O85" s="156" t="s">
        <v>116</v>
      </c>
      <c r="P85" s="20">
        <f t="shared" ref="P85:S85" si="152">ABS(H85-H89)</f>
        <v>56.273333333333341</v>
      </c>
      <c r="Q85" s="20">
        <f t="shared" si="152"/>
        <v>69.583333333333329</v>
      </c>
      <c r="R85" s="20">
        <f t="shared" si="152"/>
        <v>0.4100000000000108</v>
      </c>
      <c r="S85" s="20">
        <f t="shared" si="152"/>
        <v>0.78999999999996362</v>
      </c>
      <c r="T85" s="342"/>
      <c r="U85" s="342"/>
      <c r="Z85" s="163"/>
    </row>
    <row r="86" spans="7:26">
      <c r="G86" s="164">
        <v>4</v>
      </c>
      <c r="H86" s="20">
        <f t="shared" si="144"/>
        <v>1.3233333333333377</v>
      </c>
      <c r="I86" s="20">
        <f t="shared" si="145"/>
        <v>2.3033333333333275</v>
      </c>
      <c r="J86" s="20">
        <f t="shared" si="146"/>
        <v>0.92666666666666231</v>
      </c>
      <c r="K86" s="20">
        <f t="shared" si="147"/>
        <v>0.40999999999996817</v>
      </c>
      <c r="L86" s="54">
        <f t="shared" si="148"/>
        <v>0.97999999999998977</v>
      </c>
      <c r="M86" s="56">
        <f t="shared" si="149"/>
        <v>0.51666666666669414</v>
      </c>
      <c r="O86" s="165" t="s">
        <v>117</v>
      </c>
      <c r="P86" s="166">
        <f t="shared" ref="P86:S86" si="153">ABS(H86-H90)</f>
        <v>0.18999999999998352</v>
      </c>
      <c r="Q86" s="166">
        <f t="shared" si="153"/>
        <v>0.46666666666665435</v>
      </c>
      <c r="R86" s="166">
        <f t="shared" si="153"/>
        <v>0.39333333333333087</v>
      </c>
      <c r="S86" s="166">
        <f t="shared" si="153"/>
        <v>0.21666666666661172</v>
      </c>
      <c r="T86" s="335"/>
      <c r="U86" s="335"/>
      <c r="Z86" s="163"/>
    </row>
    <row r="87" spans="7:26">
      <c r="G87" s="164">
        <v>5</v>
      </c>
      <c r="H87" s="20">
        <f t="shared" si="144"/>
        <v>1.2433333333333394</v>
      </c>
      <c r="I87" s="20">
        <f t="shared" si="145"/>
        <v>0.93000000000000682</v>
      </c>
      <c r="J87" s="20">
        <f t="shared" si="146"/>
        <v>0.17333333333333201</v>
      </c>
      <c r="K87" s="20">
        <f t="shared" si="147"/>
        <v>1.1033333333333246</v>
      </c>
      <c r="L87" s="54">
        <f t="shared" si="148"/>
        <v>0.31333333333333258</v>
      </c>
      <c r="M87" s="56">
        <f t="shared" si="149"/>
        <v>0.92999999999999261</v>
      </c>
      <c r="O87" s="156" t="s">
        <v>120</v>
      </c>
      <c r="P87" s="20">
        <f t="shared" ref="P87:S87" si="154">ABS(H83-H91)</f>
        <v>0.10666666666669755</v>
      </c>
      <c r="Q87" s="20">
        <f t="shared" si="154"/>
        <v>0.18333333333335133</v>
      </c>
      <c r="R87" s="20">
        <f t="shared" si="154"/>
        <v>7.333333333332348E-2</v>
      </c>
      <c r="S87" s="20">
        <f t="shared" si="154"/>
        <v>6.9999999999993179E-2</v>
      </c>
      <c r="T87" s="416" t="s">
        <v>121</v>
      </c>
      <c r="U87" s="342"/>
      <c r="Z87" s="163"/>
    </row>
    <row r="88" spans="7:26">
      <c r="G88" s="159">
        <v>6</v>
      </c>
      <c r="H88" s="20">
        <f t="shared" si="144"/>
        <v>11.426666666666662</v>
      </c>
      <c r="I88" s="20">
        <f t="shared" si="145"/>
        <v>7.9000000000000057</v>
      </c>
      <c r="J88" s="20">
        <f t="shared" si="146"/>
        <v>9.6666666666678225E-2</v>
      </c>
      <c r="K88" s="20">
        <f t="shared" si="147"/>
        <v>0.27666666666664241</v>
      </c>
      <c r="L88" s="54">
        <f t="shared" si="148"/>
        <v>3.5266666666666566</v>
      </c>
      <c r="M88" s="56">
        <f t="shared" si="149"/>
        <v>0.17999999999996419</v>
      </c>
      <c r="O88" s="156" t="s">
        <v>122</v>
      </c>
      <c r="P88" s="20">
        <f t="shared" ref="P88:S88" si="155">ABS(H84-H92)</f>
        <v>0.19666666666667254</v>
      </c>
      <c r="Q88" s="20">
        <f t="shared" si="155"/>
        <v>2.3333333333340533E-2</v>
      </c>
      <c r="R88" s="20">
        <f t="shared" si="155"/>
        <v>0.19333333333331382</v>
      </c>
      <c r="S88" s="20">
        <f t="shared" si="155"/>
        <v>1.416666666666643</v>
      </c>
      <c r="T88" s="342"/>
      <c r="U88" s="342"/>
      <c r="Z88" s="169"/>
    </row>
    <row r="89" spans="7:26">
      <c r="G89" s="159">
        <v>7</v>
      </c>
      <c r="H89" s="20">
        <f t="shared" si="144"/>
        <v>11.416666666666657</v>
      </c>
      <c r="I89" s="20">
        <f t="shared" si="145"/>
        <v>9.5133333333333354</v>
      </c>
      <c r="J89" s="20">
        <f t="shared" si="146"/>
        <v>0.45666666666666345</v>
      </c>
      <c r="K89" s="20">
        <f t="shared" si="147"/>
        <v>0.86999999999997613</v>
      </c>
      <c r="L89" s="54">
        <f t="shared" si="148"/>
        <v>1.9033333333333218</v>
      </c>
      <c r="M89" s="56">
        <f t="shared" si="149"/>
        <v>0.41333333333331268</v>
      </c>
      <c r="O89" s="156" t="s">
        <v>125</v>
      </c>
      <c r="P89" s="20">
        <f t="shared" ref="P89:S89" si="156">ABS(H85-H93)</f>
        <v>0.28666666666666174</v>
      </c>
      <c r="Q89" s="20">
        <f t="shared" si="156"/>
        <v>0.82333333333333769</v>
      </c>
      <c r="R89" s="20">
        <f t="shared" si="156"/>
        <v>0.46000000000000796</v>
      </c>
      <c r="S89" s="20">
        <f t="shared" si="156"/>
        <v>0.3366666666666589</v>
      </c>
      <c r="T89" s="342"/>
      <c r="U89" s="342"/>
      <c r="Z89" s="169"/>
    </row>
    <row r="90" spans="7:26">
      <c r="G90" s="164">
        <v>8</v>
      </c>
      <c r="H90" s="20">
        <f t="shared" si="144"/>
        <v>1.5133333333333212</v>
      </c>
      <c r="I90" s="20">
        <f t="shared" si="145"/>
        <v>2.7699999999999818</v>
      </c>
      <c r="J90" s="20">
        <f t="shared" si="146"/>
        <v>1.3199999999999932</v>
      </c>
      <c r="K90" s="20">
        <f t="shared" si="147"/>
        <v>0.19333333333335645</v>
      </c>
      <c r="L90" s="54">
        <f t="shared" si="148"/>
        <v>1.2566666666666606</v>
      </c>
      <c r="M90" s="56">
        <f t="shared" si="149"/>
        <v>1.1266666666666367</v>
      </c>
      <c r="O90" s="165" t="s">
        <v>126</v>
      </c>
      <c r="P90" s="166">
        <f t="shared" ref="P90:S90" si="157">ABS(H86-H94)</f>
        <v>1.3333333333363839E-2</v>
      </c>
      <c r="Q90" s="166">
        <f t="shared" si="157"/>
        <v>1.1466666666666612</v>
      </c>
      <c r="R90" s="166">
        <f t="shared" si="157"/>
        <v>0.78000000000000114</v>
      </c>
      <c r="S90" s="166">
        <f t="shared" si="157"/>
        <v>0.48000000000001819</v>
      </c>
      <c r="T90" s="335"/>
      <c r="U90" s="335"/>
      <c r="Z90" s="169"/>
    </row>
    <row r="91" spans="7:26">
      <c r="G91" s="164">
        <v>9</v>
      </c>
      <c r="H91" s="20">
        <f t="shared" si="144"/>
        <v>1.3333333333333286</v>
      </c>
      <c r="I91" s="20">
        <f t="shared" si="145"/>
        <v>1.0699999999999932</v>
      </c>
      <c r="J91" s="20">
        <f t="shared" si="146"/>
        <v>0.2533333333333303</v>
      </c>
      <c r="K91" s="20">
        <f t="shared" si="147"/>
        <v>6.9999999999993179E-2</v>
      </c>
      <c r="L91" s="54">
        <f t="shared" si="148"/>
        <v>0.26333333333333542</v>
      </c>
      <c r="M91" s="56">
        <f t="shared" si="149"/>
        <v>0.18333333333333712</v>
      </c>
      <c r="O91" s="156" t="s">
        <v>128</v>
      </c>
      <c r="P91" s="56">
        <f t="shared" ref="P91:S91" si="158">ABS(H87-H91)</f>
        <v>8.99999999999892E-2</v>
      </c>
      <c r="Q91" s="56">
        <f t="shared" si="158"/>
        <v>0.13999999999998636</v>
      </c>
      <c r="R91" s="56">
        <f t="shared" si="158"/>
        <v>7.9999999999998295E-2</v>
      </c>
      <c r="S91" s="56">
        <f t="shared" si="158"/>
        <v>1.0333333333333314</v>
      </c>
      <c r="T91" s="416" t="s">
        <v>129</v>
      </c>
      <c r="U91" s="342"/>
      <c r="Z91" s="169"/>
    </row>
    <row r="92" spans="7:26">
      <c r="G92" s="159">
        <v>10</v>
      </c>
      <c r="H92" s="20">
        <f t="shared" si="144"/>
        <v>68.099999999999994</v>
      </c>
      <c r="I92" s="20">
        <f t="shared" si="145"/>
        <v>75.936666666666667</v>
      </c>
      <c r="J92" s="20">
        <f t="shared" si="146"/>
        <v>1.4333333333333371</v>
      </c>
      <c r="K92" s="20">
        <f t="shared" si="147"/>
        <v>1.5933333333333195</v>
      </c>
      <c r="L92" s="54">
        <f t="shared" si="148"/>
        <v>7.8366666666666731</v>
      </c>
      <c r="M92" s="56">
        <f t="shared" si="149"/>
        <v>0.15999999999998238</v>
      </c>
      <c r="O92" s="156" t="s">
        <v>130</v>
      </c>
      <c r="P92" s="56">
        <f t="shared" ref="P92:S92" si="159">ABS(H88-H92)</f>
        <v>56.673333333333332</v>
      </c>
      <c r="Q92" s="56">
        <f t="shared" si="159"/>
        <v>68.036666666666662</v>
      </c>
      <c r="R92" s="56">
        <f t="shared" si="159"/>
        <v>1.3366666666666589</v>
      </c>
      <c r="S92" s="56">
        <f t="shared" si="159"/>
        <v>1.3166666666666771</v>
      </c>
      <c r="T92" s="342"/>
      <c r="U92" s="342"/>
      <c r="Z92" s="169"/>
    </row>
    <row r="93" spans="7:26">
      <c r="G93" s="159">
        <v>11</v>
      </c>
      <c r="H93" s="20">
        <f t="shared" si="144"/>
        <v>67.976666666666659</v>
      </c>
      <c r="I93" s="20">
        <f t="shared" si="145"/>
        <v>79.92</v>
      </c>
      <c r="J93" s="20">
        <f t="shared" si="146"/>
        <v>1.3266666666666822</v>
      </c>
      <c r="K93" s="20">
        <f t="shared" si="147"/>
        <v>0.4166666666666714</v>
      </c>
      <c r="L93" s="54">
        <f t="shared" si="148"/>
        <v>11.943333333333342</v>
      </c>
      <c r="M93" s="56">
        <f t="shared" si="149"/>
        <v>0.9100000000000108</v>
      </c>
      <c r="O93" s="171" t="s">
        <v>131</v>
      </c>
      <c r="P93" s="56">
        <f t="shared" ref="P93:S93" si="160">ABS(H89-H93)</f>
        <v>56.56</v>
      </c>
      <c r="Q93" s="56">
        <f t="shared" si="160"/>
        <v>70.406666666666666</v>
      </c>
      <c r="R93" s="56">
        <f t="shared" si="160"/>
        <v>0.87000000000001876</v>
      </c>
      <c r="S93" s="56">
        <f t="shared" si="160"/>
        <v>0.45333333333330472</v>
      </c>
      <c r="T93" s="342"/>
      <c r="U93" s="342"/>
      <c r="Z93" s="169"/>
    </row>
    <row r="94" spans="7:26">
      <c r="G94" s="164">
        <v>12</v>
      </c>
      <c r="H94" s="20">
        <f t="shared" si="144"/>
        <v>1.3099999999999739</v>
      </c>
      <c r="I94" s="20">
        <f t="shared" si="145"/>
        <v>3.4499999999999886</v>
      </c>
      <c r="J94" s="20">
        <f t="shared" si="146"/>
        <v>0.14666666666666117</v>
      </c>
      <c r="K94" s="20">
        <f t="shared" si="147"/>
        <v>0.88999999999998636</v>
      </c>
      <c r="L94" s="54">
        <f t="shared" si="148"/>
        <v>2.1400000000000148</v>
      </c>
      <c r="M94" s="56">
        <f t="shared" si="149"/>
        <v>0.74333333333332519</v>
      </c>
      <c r="O94" s="172" t="s">
        <v>134</v>
      </c>
      <c r="P94" s="174">
        <f t="shared" ref="P94:S94" si="161">ABS(H90-H94)</f>
        <v>0.20333333333334735</v>
      </c>
      <c r="Q94" s="174">
        <f t="shared" si="161"/>
        <v>0.68000000000000682</v>
      </c>
      <c r="R94" s="174">
        <f t="shared" si="161"/>
        <v>1.173333333333332</v>
      </c>
      <c r="S94" s="174">
        <f t="shared" si="161"/>
        <v>0.69666666666662991</v>
      </c>
      <c r="T94" s="335"/>
      <c r="U94" s="335"/>
      <c r="Z94" s="56"/>
    </row>
    <row r="95" spans="7:26">
      <c r="G95" s="164">
        <v>13</v>
      </c>
      <c r="H95" s="20">
        <f t="shared" si="144"/>
        <v>2.2266666666666595</v>
      </c>
      <c r="I95" s="20">
        <f t="shared" si="145"/>
        <v>0.93333333333333712</v>
      </c>
      <c r="J95" s="20">
        <f t="shared" si="146"/>
        <v>0.21999999999999886</v>
      </c>
      <c r="K95" s="20">
        <f t="shared" si="147"/>
        <v>0.11666666666667425</v>
      </c>
      <c r="L95" s="54">
        <f t="shared" si="148"/>
        <v>1.2933333333333223</v>
      </c>
      <c r="M95" s="56">
        <f t="shared" si="149"/>
        <v>0.10333333333332462</v>
      </c>
      <c r="O95" s="171" t="s">
        <v>135</v>
      </c>
      <c r="P95" s="175">
        <f t="shared" ref="P95:S95" si="162">ABS(H83-H95)</f>
        <v>0.78666666666663332</v>
      </c>
      <c r="Q95" s="175">
        <f t="shared" si="162"/>
        <v>0.32000000000000739</v>
      </c>
      <c r="R95" s="175">
        <f t="shared" si="162"/>
        <v>3.9999999999992042E-2</v>
      </c>
      <c r="S95" s="175">
        <f t="shared" si="162"/>
        <v>2.3333333333312112E-2</v>
      </c>
      <c r="T95" s="415" t="s">
        <v>136</v>
      </c>
      <c r="U95" s="342"/>
      <c r="Z95" s="56"/>
    </row>
    <row r="96" spans="7:26">
      <c r="G96" s="159">
        <v>14</v>
      </c>
      <c r="H96" s="20">
        <f t="shared" si="144"/>
        <v>0.1266666666666687</v>
      </c>
      <c r="I96" s="20">
        <f t="shared" si="145"/>
        <v>9.7500000000000036</v>
      </c>
      <c r="J96" s="20">
        <f t="shared" si="146"/>
        <v>22.43</v>
      </c>
      <c r="K96" s="20">
        <f t="shared" si="147"/>
        <v>0.94666666666666544</v>
      </c>
      <c r="L96" s="54">
        <f t="shared" si="148"/>
        <v>9.6233333333333348</v>
      </c>
      <c r="M96" s="56">
        <f t="shared" si="149"/>
        <v>21.483333333333334</v>
      </c>
      <c r="O96" s="171" t="s">
        <v>142</v>
      </c>
      <c r="P96" s="175">
        <f t="shared" ref="P96:S96" si="163">ABS(H84-H96)</f>
        <v>67.776666666666657</v>
      </c>
      <c r="Q96" s="175">
        <f t="shared" si="163"/>
        <v>66.163333333333327</v>
      </c>
      <c r="R96" s="175">
        <f t="shared" si="163"/>
        <v>20.803333333333349</v>
      </c>
      <c r="S96" s="175">
        <f t="shared" si="163"/>
        <v>0.76999999999998892</v>
      </c>
      <c r="T96" s="342"/>
      <c r="U96" s="342"/>
      <c r="Z96" s="13"/>
    </row>
    <row r="97" spans="7:26">
      <c r="G97" s="164">
        <v>15</v>
      </c>
      <c r="H97" s="20">
        <f t="shared" si="144"/>
        <v>2.3899999999999864</v>
      </c>
      <c r="I97" s="20">
        <f t="shared" si="145"/>
        <v>0.76999999999998181</v>
      </c>
      <c r="J97" s="20">
        <f t="shared" si="146"/>
        <v>1.25</v>
      </c>
      <c r="K97" s="20">
        <f t="shared" si="147"/>
        <v>5.0000000000011369E-2</v>
      </c>
      <c r="L97" s="54">
        <f t="shared" si="148"/>
        <v>1.6200000000000045</v>
      </c>
      <c r="M97" s="56">
        <f t="shared" si="149"/>
        <v>1.1999999999999886</v>
      </c>
      <c r="O97" s="171" t="s">
        <v>143</v>
      </c>
      <c r="P97" s="175">
        <f t="shared" ref="P97:S97" si="164">ABS(H91-H97)</f>
        <v>1.0566666666666578</v>
      </c>
      <c r="Q97" s="175">
        <f t="shared" si="164"/>
        <v>0.30000000000001137</v>
      </c>
      <c r="R97" s="175">
        <f t="shared" si="164"/>
        <v>0.9966666666666697</v>
      </c>
      <c r="S97" s="175">
        <f t="shared" si="164"/>
        <v>1.999999999998181E-2</v>
      </c>
      <c r="T97" s="342"/>
      <c r="U97" s="342"/>
      <c r="Z97" s="13"/>
    </row>
    <row r="98" spans="7:26">
      <c r="G98" s="159">
        <v>16</v>
      </c>
      <c r="H98" s="20">
        <f t="shared" si="144"/>
        <v>27.506666666666657</v>
      </c>
      <c r="I98" s="20">
        <f t="shared" si="145"/>
        <v>4.1933333333333334</v>
      </c>
      <c r="J98" s="20">
        <f t="shared" si="146"/>
        <v>29.643333333333331</v>
      </c>
      <c r="K98" s="20">
        <f t="shared" si="147"/>
        <v>2.6666666666666679</v>
      </c>
      <c r="L98" s="54">
        <f t="shared" si="148"/>
        <v>23.313333333333325</v>
      </c>
      <c r="M98" s="56">
        <f t="shared" si="149"/>
        <v>26.976666666666663</v>
      </c>
      <c r="O98" s="171" t="s">
        <v>145</v>
      </c>
      <c r="P98" s="175">
        <f t="shared" ref="P98:S98" si="165">ABS(H92-H98)</f>
        <v>40.593333333333334</v>
      </c>
      <c r="Q98" s="175">
        <f t="shared" si="165"/>
        <v>71.743333333333339</v>
      </c>
      <c r="R98" s="175">
        <f t="shared" si="165"/>
        <v>28.209999999999994</v>
      </c>
      <c r="S98" s="175">
        <f t="shared" si="165"/>
        <v>1.0733333333333483</v>
      </c>
      <c r="T98" s="342"/>
      <c r="U98" s="342"/>
      <c r="Z98" s="13"/>
    </row>
    <row r="99" spans="7:26">
      <c r="G99" s="159">
        <v>17</v>
      </c>
      <c r="H99" s="20">
        <f t="shared" si="144"/>
        <v>7.923333333333332</v>
      </c>
      <c r="I99" s="20">
        <f t="shared" si="145"/>
        <v>75.913333333333341</v>
      </c>
      <c r="J99" s="20">
        <f t="shared" si="146"/>
        <v>4.1933333333333209</v>
      </c>
      <c r="K99" s="20">
        <f t="shared" si="147"/>
        <v>9.6966666666666583</v>
      </c>
      <c r="L99" s="54">
        <f t="shared" si="148"/>
        <v>67.990000000000009</v>
      </c>
      <c r="M99" s="56">
        <f t="shared" si="149"/>
        <v>5.5033333333333374</v>
      </c>
      <c r="O99" s="171" t="s">
        <v>147</v>
      </c>
      <c r="P99" s="175">
        <f t="shared" ref="P99:S99" si="166">ABS(H93-H99)</f>
        <v>60.053333333333327</v>
      </c>
      <c r="Q99" s="175">
        <f t="shared" si="166"/>
        <v>4.0066666666666606</v>
      </c>
      <c r="R99" s="175">
        <f t="shared" si="166"/>
        <v>2.8666666666666387</v>
      </c>
      <c r="S99" s="175">
        <f t="shared" si="166"/>
        <v>9.2799999999999869</v>
      </c>
      <c r="T99" s="342"/>
      <c r="U99" s="342"/>
      <c r="Z99" s="13"/>
    </row>
    <row r="100" spans="7:26">
      <c r="G100" s="164">
        <v>18</v>
      </c>
      <c r="H100" s="20">
        <f t="shared" si="144"/>
        <v>3.0066666666666606</v>
      </c>
      <c r="I100" s="20">
        <f t="shared" si="145"/>
        <v>4.3900000000000148</v>
      </c>
      <c r="J100" s="20">
        <f t="shared" si="146"/>
        <v>0.76333333333334963</v>
      </c>
      <c r="K100" s="20">
        <f t="shared" si="147"/>
        <v>1.6233333333333348</v>
      </c>
      <c r="L100" s="54">
        <f t="shared" si="148"/>
        <v>1.3833333333333542</v>
      </c>
      <c r="M100" s="56">
        <f t="shared" si="149"/>
        <v>0.85999999999998522</v>
      </c>
      <c r="O100" s="172" t="s">
        <v>148</v>
      </c>
      <c r="P100" s="177">
        <f t="shared" ref="P100:S100" si="167">ABS(H94-H100)</f>
        <v>1.6966666666666868</v>
      </c>
      <c r="Q100" s="177">
        <f t="shared" si="167"/>
        <v>0.94000000000002615</v>
      </c>
      <c r="R100" s="177">
        <f t="shared" si="167"/>
        <v>0.61666666666668846</v>
      </c>
      <c r="S100" s="177">
        <f t="shared" si="167"/>
        <v>0.73333333333334849</v>
      </c>
      <c r="T100" s="335"/>
      <c r="U100" s="335"/>
      <c r="Z100" s="13"/>
    </row>
    <row r="101" spans="7:26">
      <c r="O101" s="156" t="s">
        <v>149</v>
      </c>
      <c r="P101" s="56">
        <f t="shared" ref="P101:S101" si="168">ABS(H83-H86)</f>
        <v>0.11666666666668846</v>
      </c>
      <c r="Q101" s="56">
        <f t="shared" si="168"/>
        <v>1.0499999999999829</v>
      </c>
      <c r="R101" s="56">
        <f t="shared" si="168"/>
        <v>0.74666666666665549</v>
      </c>
      <c r="S101" s="56">
        <f t="shared" si="168"/>
        <v>0.26999999999998181</v>
      </c>
      <c r="T101" s="416" t="s">
        <v>150</v>
      </c>
      <c r="U101" s="342"/>
      <c r="Z101" s="13"/>
    </row>
    <row r="102" spans="7:26">
      <c r="J102" s="56"/>
      <c r="K102" s="56"/>
      <c r="O102" s="156" t="s">
        <v>151</v>
      </c>
      <c r="P102" s="56">
        <f t="shared" ref="P102:S102" si="169">ABS(H84-H85)</f>
        <v>0.21333333333332405</v>
      </c>
      <c r="Q102" s="56">
        <f t="shared" si="169"/>
        <v>3.1833333333333371</v>
      </c>
      <c r="R102" s="56">
        <f t="shared" si="169"/>
        <v>0.75999999999997669</v>
      </c>
      <c r="S102" s="56">
        <f t="shared" si="169"/>
        <v>9.6666666666664014E-2</v>
      </c>
      <c r="T102" s="342"/>
      <c r="U102" s="342"/>
      <c r="Z102" s="13"/>
    </row>
    <row r="103" spans="7:26">
      <c r="O103" s="156" t="s">
        <v>152</v>
      </c>
      <c r="P103" s="56">
        <f t="shared" ref="P103:S103" si="170">ABS(H87-H90)</f>
        <v>0.26999999999998181</v>
      </c>
      <c r="Q103" s="56">
        <f t="shared" si="170"/>
        <v>1.839999999999975</v>
      </c>
      <c r="R103" s="56">
        <f t="shared" si="170"/>
        <v>1.1466666666666612</v>
      </c>
      <c r="S103" s="56">
        <f t="shared" si="170"/>
        <v>0.90999999999996817</v>
      </c>
      <c r="T103" s="342"/>
      <c r="U103" s="342"/>
      <c r="Z103" s="13"/>
    </row>
    <row r="104" spans="7:26">
      <c r="O104" s="156" t="s">
        <v>153</v>
      </c>
      <c r="P104" s="56">
        <f t="shared" ref="P104:S104" si="171">ABS(H88-H89)</f>
        <v>1.0000000000005116E-2</v>
      </c>
      <c r="Q104" s="56">
        <f t="shared" si="171"/>
        <v>1.6133333333333297</v>
      </c>
      <c r="R104" s="56">
        <f t="shared" si="171"/>
        <v>0.35999999999998522</v>
      </c>
      <c r="S104" s="56">
        <f t="shared" si="171"/>
        <v>0.59333333333333371</v>
      </c>
      <c r="T104" s="342"/>
      <c r="U104" s="342"/>
      <c r="Z104" s="13"/>
    </row>
    <row r="105" spans="7:26">
      <c r="O105" s="156" t="s">
        <v>154</v>
      </c>
      <c r="P105" s="56">
        <f t="shared" ref="P105:S105" si="172">ABS(H91-H94)</f>
        <v>2.3333333333354744E-2</v>
      </c>
      <c r="Q105" s="56">
        <f t="shared" si="172"/>
        <v>2.3799999999999955</v>
      </c>
      <c r="R105" s="56">
        <f t="shared" si="172"/>
        <v>0.10666666666666913</v>
      </c>
      <c r="S105" s="56">
        <f t="shared" si="172"/>
        <v>0.81999999999999318</v>
      </c>
      <c r="T105" s="342"/>
      <c r="U105" s="342"/>
      <c r="Z105" s="13"/>
    </row>
    <row r="106" spans="7:26">
      <c r="O106" s="156" t="s">
        <v>156</v>
      </c>
      <c r="P106" s="56">
        <f t="shared" ref="P106:S106" si="173">ABS(H92-H93)</f>
        <v>0.12333333333333485</v>
      </c>
      <c r="Q106" s="56">
        <f t="shared" si="173"/>
        <v>3.9833333333333343</v>
      </c>
      <c r="R106" s="56">
        <f t="shared" si="173"/>
        <v>0.10666666666665492</v>
      </c>
      <c r="S106" s="56">
        <f t="shared" si="173"/>
        <v>1.1766666666666481</v>
      </c>
      <c r="T106" s="342"/>
      <c r="U106" s="342"/>
      <c r="Z106" s="13"/>
    </row>
    <row r="107" spans="7:26">
      <c r="O107" s="156" t="s">
        <v>158</v>
      </c>
      <c r="P107" s="56">
        <f t="shared" ref="P107:S107" si="174">ABS(H97-H100)</f>
        <v>0.61666666666667425</v>
      </c>
      <c r="Q107" s="56">
        <f t="shared" si="174"/>
        <v>3.620000000000033</v>
      </c>
      <c r="R107" s="56">
        <f t="shared" si="174"/>
        <v>0.48666666666665037</v>
      </c>
      <c r="S107" s="56">
        <f t="shared" si="174"/>
        <v>1.5733333333333235</v>
      </c>
      <c r="T107" s="342"/>
      <c r="U107" s="342"/>
      <c r="Z107" s="13"/>
    </row>
    <row r="108" spans="7:26">
      <c r="O108" s="165" t="s">
        <v>159</v>
      </c>
      <c r="P108" s="174">
        <f t="shared" ref="P108:S108" si="175">ABS(H98-H99)</f>
        <v>19.583333333333325</v>
      </c>
      <c r="Q108" s="174">
        <f t="shared" si="175"/>
        <v>71.720000000000013</v>
      </c>
      <c r="R108" s="174">
        <f t="shared" si="175"/>
        <v>25.45000000000001</v>
      </c>
      <c r="S108" s="174">
        <f t="shared" si="175"/>
        <v>7.0299999999999905</v>
      </c>
      <c r="T108" s="335"/>
      <c r="U108" s="335"/>
      <c r="Z108" s="13"/>
    </row>
    <row r="109" spans="7:26">
      <c r="O109" s="156" t="s">
        <v>160</v>
      </c>
      <c r="P109" s="56">
        <f t="shared" ref="P109:S109" si="176">ABS(H83-H85)</f>
        <v>66.249999999999972</v>
      </c>
      <c r="Q109" s="56">
        <f t="shared" si="176"/>
        <v>77.84333333333332</v>
      </c>
      <c r="R109" s="56">
        <f t="shared" si="176"/>
        <v>0.68666666666666742</v>
      </c>
      <c r="S109" s="56">
        <f t="shared" si="176"/>
        <v>5.9999999999973852E-2</v>
      </c>
      <c r="T109" s="416" t="s">
        <v>161</v>
      </c>
      <c r="U109" s="342"/>
      <c r="Z109" s="13"/>
    </row>
    <row r="110" spans="7:26">
      <c r="O110" s="156" t="s">
        <v>162</v>
      </c>
      <c r="P110" s="56">
        <f t="shared" ref="P110:S110" si="177">ABS(H84-H86)</f>
        <v>66.579999999999984</v>
      </c>
      <c r="Q110" s="56">
        <f t="shared" si="177"/>
        <v>73.61</v>
      </c>
      <c r="R110" s="56">
        <f t="shared" si="177"/>
        <v>0.69999999999998863</v>
      </c>
      <c r="S110" s="56">
        <f t="shared" si="177"/>
        <v>0.23333333333329165</v>
      </c>
      <c r="T110" s="342"/>
      <c r="U110" s="342"/>
      <c r="Z110" s="13"/>
    </row>
    <row r="111" spans="7:26">
      <c r="O111" s="156" t="s">
        <v>163</v>
      </c>
      <c r="P111" s="56">
        <f t="shared" ref="P111:S111" si="178">ABS(H87-H89)</f>
        <v>10.173333333333318</v>
      </c>
      <c r="Q111" s="56">
        <f t="shared" si="178"/>
        <v>8.5833333333333286</v>
      </c>
      <c r="R111" s="56">
        <f t="shared" si="178"/>
        <v>0.28333333333333144</v>
      </c>
      <c r="S111" s="56">
        <f t="shared" si="178"/>
        <v>0.23333333333334849</v>
      </c>
      <c r="T111" s="342"/>
      <c r="U111" s="342"/>
      <c r="Z111" s="13"/>
    </row>
    <row r="112" spans="7:26">
      <c r="O112" s="156" t="s">
        <v>164</v>
      </c>
      <c r="P112" s="56">
        <f t="shared" ref="P112:S112" si="179">ABS(H88-H90)</f>
        <v>9.9133333333333411</v>
      </c>
      <c r="Q112" s="56">
        <f t="shared" si="179"/>
        <v>5.1300000000000239</v>
      </c>
      <c r="R112" s="56">
        <f t="shared" si="179"/>
        <v>1.223333333333315</v>
      </c>
      <c r="S112" s="56">
        <f t="shared" si="179"/>
        <v>8.3333333333285964E-2</v>
      </c>
      <c r="T112" s="342"/>
      <c r="U112" s="342"/>
      <c r="Z112" s="13"/>
    </row>
    <row r="113" spans="15:26">
      <c r="O113" s="156" t="s">
        <v>165</v>
      </c>
      <c r="P113" s="56">
        <f t="shared" ref="P113:S113" si="180">ABS(H91-H93)</f>
        <v>66.643333333333331</v>
      </c>
      <c r="Q113" s="56">
        <f t="shared" si="180"/>
        <v>78.850000000000009</v>
      </c>
      <c r="R113" s="56">
        <f t="shared" si="180"/>
        <v>1.0733333333333519</v>
      </c>
      <c r="S113" s="56">
        <f t="shared" si="180"/>
        <v>0.34666666666667822</v>
      </c>
      <c r="T113" s="342"/>
      <c r="U113" s="342"/>
      <c r="Z113" s="13"/>
    </row>
    <row r="114" spans="15:26">
      <c r="O114" s="156" t="s">
        <v>166</v>
      </c>
      <c r="P114" s="56">
        <f t="shared" ref="P114:S114" si="181">ABS(H92-H94)</f>
        <v>66.79000000000002</v>
      </c>
      <c r="Q114" s="56">
        <f t="shared" si="181"/>
        <v>72.486666666666679</v>
      </c>
      <c r="R114" s="56">
        <f t="shared" si="181"/>
        <v>1.286666666666676</v>
      </c>
      <c r="S114" s="56">
        <f t="shared" si="181"/>
        <v>0.70333333333333314</v>
      </c>
      <c r="T114" s="342"/>
      <c r="U114" s="342"/>
      <c r="Z114" s="13"/>
    </row>
    <row r="115" spans="15:26">
      <c r="O115" s="156" t="s">
        <v>167</v>
      </c>
      <c r="P115" s="56">
        <f t="shared" ref="P115:S115" si="182">ABS(H97-H99)</f>
        <v>5.5333333333333456</v>
      </c>
      <c r="Q115" s="56">
        <f t="shared" si="182"/>
        <v>75.143333333333359</v>
      </c>
      <c r="R115" s="56">
        <f t="shared" si="182"/>
        <v>2.9433333333333209</v>
      </c>
      <c r="S115" s="56">
        <f t="shared" si="182"/>
        <v>9.646666666666647</v>
      </c>
      <c r="T115" s="342"/>
      <c r="U115" s="342"/>
      <c r="Z115" s="13"/>
    </row>
    <row r="116" spans="15:26">
      <c r="O116" s="156" t="s">
        <v>168</v>
      </c>
      <c r="P116" s="56">
        <f t="shared" ref="P116:S116" si="183">ABS(H98-H100)</f>
        <v>24.499999999999996</v>
      </c>
      <c r="Q116" s="56">
        <f t="shared" si="183"/>
        <v>0.19666666666668142</v>
      </c>
      <c r="R116" s="56">
        <f t="shared" si="183"/>
        <v>28.879999999999981</v>
      </c>
      <c r="S116" s="56">
        <f t="shared" si="183"/>
        <v>1.043333333333333</v>
      </c>
      <c r="T116" s="342"/>
      <c r="U116" s="342"/>
      <c r="Z116" s="13"/>
    </row>
    <row r="117" spans="15:26">
      <c r="Z117" s="13"/>
    </row>
    <row r="118" spans="15:26">
      <c r="Z118" s="13"/>
    </row>
    <row r="119" spans="15:26">
      <c r="Z119" s="56"/>
    </row>
    <row r="120" spans="15:26">
      <c r="Z120" s="56"/>
    </row>
    <row r="121" spans="15:26">
      <c r="Z121" s="56"/>
    </row>
    <row r="122" spans="15:26">
      <c r="Z122" s="56"/>
    </row>
    <row r="123" spans="15:26">
      <c r="Z123" s="56"/>
    </row>
    <row r="124" spans="15:26">
      <c r="T124" s="56"/>
      <c r="U124" s="56"/>
      <c r="V124" s="56"/>
      <c r="W124" s="56"/>
      <c r="X124" s="56"/>
      <c r="Y124" s="56"/>
      <c r="Z124" s="56"/>
    </row>
    <row r="125" spans="15:26">
      <c r="T125" s="56"/>
      <c r="U125" s="56"/>
      <c r="V125" s="56"/>
      <c r="W125" s="56"/>
      <c r="X125" s="56"/>
      <c r="Y125" s="56"/>
      <c r="Z125" s="56"/>
    </row>
    <row r="126" spans="15:26">
      <c r="T126" s="56"/>
      <c r="U126" s="56"/>
      <c r="V126" s="56"/>
      <c r="W126" s="56"/>
      <c r="X126" s="56"/>
      <c r="Y126" s="56"/>
      <c r="Z126" s="56"/>
    </row>
  </sheetData>
  <mergeCells count="37">
    <mergeCell ref="W2:X2"/>
    <mergeCell ref="Y2:Z2"/>
    <mergeCell ref="G1:J1"/>
    <mergeCell ref="K1:N1"/>
    <mergeCell ref="O1:R1"/>
    <mergeCell ref="S1:V1"/>
    <mergeCell ref="W1:Z1"/>
    <mergeCell ref="I2:J2"/>
    <mergeCell ref="H81:I81"/>
    <mergeCell ref="J81:K81"/>
    <mergeCell ref="L81:M81"/>
    <mergeCell ref="K2:L2"/>
    <mergeCell ref="M2:N2"/>
    <mergeCell ref="A59:A76"/>
    <mergeCell ref="E2:E3"/>
    <mergeCell ref="F2:F3"/>
    <mergeCell ref="A4:F4"/>
    <mergeCell ref="G2:H2"/>
    <mergeCell ref="A2:A3"/>
    <mergeCell ref="B2:B3"/>
    <mergeCell ref="C2:C3"/>
    <mergeCell ref="D2:D3"/>
    <mergeCell ref="A5:A22"/>
    <mergeCell ref="A23:A40"/>
    <mergeCell ref="A41:A58"/>
    <mergeCell ref="T95:U100"/>
    <mergeCell ref="T101:U108"/>
    <mergeCell ref="T109:U116"/>
    <mergeCell ref="O2:P2"/>
    <mergeCell ref="Q2:R2"/>
    <mergeCell ref="P81:Q81"/>
    <mergeCell ref="R81:S81"/>
    <mergeCell ref="T83:U86"/>
    <mergeCell ref="T87:U90"/>
    <mergeCell ref="T91:U94"/>
    <mergeCell ref="S2:T2"/>
    <mergeCell ref="U2:V2"/>
  </mergeCells>
  <conditionalFormatting sqref="H83:M100 P83:S116">
    <cfRule type="cellIs" dxfId="6" priority="1" operator="lessThan">
      <formula>5</formula>
    </cfRule>
    <cfRule type="cellIs" dxfId="5" priority="2" operator="greaterThanOrEqual">
      <formula>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AxCQ qconfig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IOANNIS RIZOS</cp:lastModifiedBy>
  <dcterms:modified xsi:type="dcterms:W3CDTF">2026-10-29T18:54:39Z</dcterms:modified>
</cp:coreProperties>
</file>
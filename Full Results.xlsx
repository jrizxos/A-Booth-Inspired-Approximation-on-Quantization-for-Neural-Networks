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75190BA8-85E7-45CF-ACC0-657219455D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1" i="3" l="1"/>
  <c r="AN31" i="3"/>
  <c r="AH29" i="3"/>
  <c r="Y29" i="3"/>
  <c r="AO29" i="3" s="1"/>
  <c r="P29" i="3"/>
  <c r="AN29" i="3" s="1"/>
  <c r="AH28" i="3"/>
  <c r="Y28" i="3"/>
  <c r="P28" i="3"/>
  <c r="AH26" i="3"/>
  <c r="Y26" i="3"/>
  <c r="AO26" i="3" s="1"/>
  <c r="P26" i="3"/>
  <c r="AN26" i="3" s="1"/>
  <c r="AH25" i="3"/>
  <c r="Y25" i="3"/>
  <c r="AO25" i="3" s="1"/>
  <c r="P25" i="3"/>
  <c r="AN25" i="3" s="1"/>
  <c r="AH24" i="3"/>
  <c r="Y24" i="3"/>
  <c r="AO24" i="3" s="1"/>
  <c r="P24" i="3"/>
  <c r="AH22" i="3"/>
  <c r="Y22" i="3"/>
  <c r="AO22" i="3" s="1"/>
  <c r="P22" i="3"/>
  <c r="AN22" i="3" s="1"/>
  <c r="AH21" i="3"/>
  <c r="Y21" i="3"/>
  <c r="AO21" i="3" s="1"/>
  <c r="P21" i="3"/>
  <c r="AN21" i="3" s="1"/>
  <c r="AH19" i="3"/>
  <c r="Y19" i="3"/>
  <c r="P19" i="3"/>
  <c r="AN19" i="3" s="1"/>
  <c r="AM18" i="3"/>
  <c r="AH18" i="3"/>
  <c r="Y18" i="3"/>
  <c r="P18" i="3"/>
  <c r="AM17" i="3"/>
  <c r="AH17" i="3"/>
  <c r="Y17" i="3"/>
  <c r="P17" i="3"/>
  <c r="AM16" i="3"/>
  <c r="AH16" i="3"/>
  <c r="Y16" i="3"/>
  <c r="P16" i="3"/>
  <c r="AM15" i="3"/>
  <c r="AH15" i="3"/>
  <c r="Y15" i="3"/>
  <c r="AO15" i="3" s="1"/>
  <c r="P15" i="3"/>
  <c r="AN15" i="3" s="1"/>
  <c r="AM14" i="3"/>
  <c r="AH14" i="3"/>
  <c r="Y14" i="3"/>
  <c r="AO14" i="3" s="1"/>
  <c r="P14" i="3"/>
  <c r="AM13" i="3"/>
  <c r="AH13" i="3"/>
  <c r="Y13" i="3"/>
  <c r="P13" i="3"/>
  <c r="AM12" i="3"/>
  <c r="AH12" i="3"/>
  <c r="Y12" i="3"/>
  <c r="AO12" i="3" s="1"/>
  <c r="P12" i="3"/>
  <c r="AN12" i="3" s="1"/>
  <c r="AM11" i="3"/>
  <c r="AH11" i="3"/>
  <c r="Y11" i="3"/>
  <c r="AO11" i="3" s="1"/>
  <c r="P11" i="3"/>
  <c r="AN11" i="3" s="1"/>
  <c r="AM10" i="3"/>
  <c r="AH10" i="3"/>
  <c r="Y10" i="3"/>
  <c r="AO10" i="3" s="1"/>
  <c r="P10" i="3"/>
  <c r="AM9" i="3"/>
  <c r="AH9" i="3"/>
  <c r="Y9" i="3"/>
  <c r="P9" i="3"/>
  <c r="AO6" i="3"/>
  <c r="AN6" i="3"/>
  <c r="AO5" i="3"/>
  <c r="AN5" i="3"/>
  <c r="AO18" i="3" l="1"/>
  <c r="AO19" i="3"/>
  <c r="AN14" i="3"/>
  <c r="AN13" i="3"/>
  <c r="AN17" i="3"/>
  <c r="AN9" i="3"/>
  <c r="AO9" i="3"/>
  <c r="AO13" i="3"/>
  <c r="AN18" i="3"/>
  <c r="AN28" i="3"/>
  <c r="AO16" i="3"/>
  <c r="AO28" i="3"/>
  <c r="AN10" i="3"/>
  <c r="AO17" i="3"/>
  <c r="AN24" i="3"/>
  <c r="AN16" i="3"/>
</calcChain>
</file>

<file path=xl/sharedStrings.xml><?xml version="1.0" encoding="utf-8"?>
<sst xmlns="http://schemas.openxmlformats.org/spreadsheetml/2006/main" count="268" uniqueCount="121">
  <si>
    <t>Model</t>
  </si>
  <si>
    <t>Top-1</t>
  </si>
  <si>
    <t>Top-5</t>
  </si>
  <si>
    <t>MLP (MNIST)</t>
  </si>
  <si>
    <t>CNN (MNIST)</t>
  </si>
  <si>
    <t>-</t>
  </si>
  <si>
    <t>DistilBERT</t>
  </si>
  <si>
    <t>BERT-large</t>
  </si>
  <si>
    <t>AudioSet</t>
  </si>
  <si>
    <t>AST</t>
  </si>
  <si>
    <r>
      <rPr>
        <b/>
        <sz val="10"/>
        <color theme="1"/>
        <rFont val="Arial"/>
      </rPr>
      <t>Param</t>
    </r>
    <r>
      <rPr>
        <b/>
        <sz val="10"/>
        <color theme="1"/>
        <rFont val="Arial"/>
      </rPr>
      <t xml:space="preserve"> num</t>
    </r>
  </si>
  <si>
    <t>ASP2%</t>
  </si>
  <si>
    <t>Finetuned</t>
  </si>
  <si>
    <t>Type</t>
  </si>
  <si>
    <t>Quantization backend</t>
  </si>
  <si>
    <t>Reference</t>
  </si>
  <si>
    <r>
      <rPr>
        <b/>
        <sz val="10"/>
        <color rgb="FF000000"/>
        <rFont val="Arial"/>
      </rPr>
      <t xml:space="preserve">1. </t>
    </r>
    <r>
      <rPr>
        <b/>
        <sz val="10"/>
        <color rgb="FF000000"/>
        <rFont val="Arial"/>
      </rPr>
      <t>Standard
(fp32)</t>
    </r>
  </si>
  <si>
    <t>Mean</t>
  </si>
  <si>
    <r>
      <rPr>
        <b/>
        <sz val="10"/>
        <color rgb="FF000000"/>
        <rFont val="Arial"/>
      </rPr>
      <t xml:space="preserve">2. </t>
    </r>
    <r>
      <rPr>
        <b/>
        <sz val="10"/>
        <color rgb="FF000000"/>
        <rFont val="Arial"/>
      </rPr>
      <t>Quantized
(int8)</t>
    </r>
  </si>
  <si>
    <r>
      <rPr>
        <b/>
        <sz val="10"/>
        <color rgb="FF000000"/>
        <rFont val="Arial"/>
      </rPr>
      <t xml:space="preserve">3. </t>
    </r>
    <r>
      <rPr>
        <b/>
        <sz val="10"/>
        <color rgb="FF000000"/>
        <rFont val="Arial"/>
      </rPr>
      <t>Approximate Quantized
(int6*)</t>
    </r>
  </si>
  <si>
    <r>
      <rPr>
        <b/>
        <sz val="10"/>
        <color rgb="FF000000"/>
        <rFont val="Arial"/>
      </rPr>
      <t xml:space="preserve">4. Approximate </t>
    </r>
    <r>
      <rPr>
        <b/>
        <sz val="10"/>
        <color rgb="FF000000"/>
        <rFont val="Arial"/>
      </rPr>
      <t>QAT
(int6*)</t>
    </r>
  </si>
  <si>
    <t>Loss STD</t>
  </si>
  <si>
    <t>Loss QNT</t>
  </si>
  <si>
    <t>MNIST</t>
  </si>
  <si>
    <t>✅</t>
  </si>
  <si>
    <t xml:space="preserve">MLP </t>
  </si>
  <si>
    <t>PyTorch</t>
  </si>
  <si>
    <t>I. Rizos, ”A Booth-Inspired Approximation on Quantization for Neural Networks,” github.com. https://github.com/jrizxos/A-Booth-Inspired-Approximation-on-Quantization-for-Neural-Networks (accessed Dec. 28, 2025).</t>
  </si>
  <si>
    <t xml:space="preserve">CNN </t>
  </si>
  <si>
    <t>CIFAR-10</t>
  </si>
  <si>
    <t>ILSVRC</t>
  </si>
  <si>
    <t>Alexnet</t>
  </si>
  <si>
    <t>A. Krizhevsky, ”One weird trick for parallelizing convolutional neural
networks”, arXiv preprint arXiv:1404. 5997, 2014.</t>
  </si>
  <si>
    <t>DenseNet</t>
  </si>
  <si>
    <t>G. Huang, Z. Liu, L. van der Maaten, and K. Q. Weinberger, ”Densely
Connected Convolutional Networks”, in Proceedings of the IEEE Con-
ference on Computer Vision and Pattern Recognition (CVPR), 2017.</t>
  </si>
  <si>
    <t>GoogLeNet</t>
  </si>
  <si>
    <t>C. Szegedy et al., ”Going Deeper With Convolutions”, in Proceedings
of the IEEE Conference on Computer Vision and Pattern Recognition
(CVPR), 2015.</t>
  </si>
  <si>
    <t>Inception V3</t>
  </si>
  <si>
    <t>C. Szegedy, V. Vanhoucke, S. Ioffe, J. Shlens, and Z. Wojna, ”Rethinking
the Inception Architecture for Computer Vision”, in Proceedings of the
IEEE Conference on Computer Vision and Pattern Recognition (CVPR),
2016.</t>
  </si>
  <si>
    <t>MNASNet</t>
  </si>
  <si>
    <t>M. Tan et al., ‘Mnasnet: Platform-aware neural architecture search for mobile’, in Proceedings of the IEEE/CVF conference on computer vision and pattern recognition, 2019, pp. 2820–2828.</t>
  </si>
  <si>
    <t>Mobilenet V2</t>
  </si>
  <si>
    <t>M. Sandler, A. Howard, M. Zhu, A. Zhmoginov, and L.-C. Chen, ”Mo-
bileNetV2: Inverted Residuals and Linear Bottlenecks”, in Proceedings
of the IEEE Conference on Computer Vision and Pattern Recognition
(CVPR), 2018.</t>
  </si>
  <si>
    <t>ResNet18</t>
  </si>
  <si>
    <t>K. He, X. Zhang, S. Ren, and J. Sun, ”Deep Residual Learning for
Image Recognition”, in Proceedings of the IEEE Conference on Computer
Vision and Pattern Recognition (CVPR), 2016.</t>
  </si>
  <si>
    <t>SqueezeNet</t>
  </si>
  <si>
    <t>F. N. Iandola, S. Han, M. W. Moskewicz, K. Ashraf, W. J. Dally, and K. Keutzer, ‘SqueezeNet: AlexNet-level accuracy with 50x fewer parameters and&lt; 0.5 MB model size’, arXiv preprint arXiv:1602. 07360, 2016.</t>
  </si>
  <si>
    <t>VGG16</t>
  </si>
  <si>
    <t>K. Simonyan and A. Zisserman, ”Very deep convolutional networks for
large-scale image recognition”, arXiv preprint arXiv:1409. 1556, 2014.</t>
  </si>
  <si>
    <t>VGG16_BN</t>
  </si>
  <si>
    <t>ViT</t>
  </si>
  <si>
    <t>BNB</t>
  </si>
  <si>
    <t>A. Dosovitskiy et al., ‘An image is worth 16x16 words: Transformers for image recognition at scale’, arXiv preprint arXiv:2010. 11929, 2020.</t>
  </si>
  <si>
    <t>CoLA</t>
  </si>
  <si>
    <t>SST-2</t>
  </si>
  <si>
    <t>MRPC</t>
  </si>
  <si>
    <t>QQP</t>
  </si>
  <si>
    <t>QNLI</t>
  </si>
  <si>
    <t>RTE</t>
  </si>
  <si>
    <t>WNLI</t>
  </si>
  <si>
    <t>STS-B</t>
  </si>
  <si>
    <t>335143938</t>
  </si>
  <si>
    <t>Transformer</t>
  </si>
  <si>
    <t>Torchao</t>
  </si>
  <si>
    <t>J. Devlin, M.-W. Chang, K. Lee, and K. Toutanova, ‘Bert: Pre-training of deep bidirectional transformers for language understanding’, in Proceedings of the 2019 conference of the North American chapter of the association for computational linguistics: human language technologies, volume 1 (long and short papers), 2019, pp. 4171–4186.</t>
  </si>
  <si>
    <t>66955010</t>
  </si>
  <si>
    <t>V. Sanh, L. Debut, J. Chaumond, and T. Wolf, ‘DistilBERT, a distilled version of BERT: smaller, faster, cheaper and lighter’, arXiv preprint arXiv:1910. 01108, 2019.</t>
  </si>
  <si>
    <t>ARC-C</t>
  </si>
  <si>
    <t>ARC-E</t>
  </si>
  <si>
    <t>HS</t>
  </si>
  <si>
    <t>MultiRC</t>
  </si>
  <si>
    <t>PIQA</t>
  </si>
  <si>
    <t>WiC</t>
  </si>
  <si>
    <t>WN</t>
  </si>
  <si>
    <t xml:space="preserve">BLOOM-7b1 </t>
  </si>
  <si>
    <t>7069016064</t>
  </si>
  <si>
    <t>❌</t>
  </si>
  <si>
    <t>B. Workshop et al., ‘Bloom: A 176b-parameter open-access multilingual language model’, arXiv preprint arXiv:2211. 05100, 2022.</t>
  </si>
  <si>
    <t>GPT-2-XL</t>
  </si>
  <si>
    <t>1557611200</t>
  </si>
  <si>
    <t>A. Radford et al., ‘Language models are unsupervised multitask learners’, OpenAI blog, vol. 1, no. 8, p. 9, 2019.</t>
  </si>
  <si>
    <t>OPT-13b</t>
  </si>
  <si>
    <t>12853473280</t>
  </si>
  <si>
    <t>S. Zhang et al., ‘Opt: Open pre-trained transformer language models’, arXiv preprint arXiv:2205. 01068, 2022.</t>
  </si>
  <si>
    <t>AMI-i</t>
  </si>
  <si>
    <t>AMI-s</t>
  </si>
  <si>
    <t>LS-C</t>
  </si>
  <si>
    <t>LS-O</t>
  </si>
  <si>
    <t>VP-EN</t>
  </si>
  <si>
    <t>MMS-1b-all</t>
  </si>
  <si>
    <t>964845850</t>
  </si>
  <si>
    <t>V. Pratap et al., ‘Scaling speech technology to 1,000+ languages’, Journal of Machine Learning Research, vol. 25, no. 97, pp. 1–52, 2024.</t>
  </si>
  <si>
    <t>Whisper-large-v3</t>
  </si>
  <si>
    <t>1543490560</t>
  </si>
  <si>
    <t>A. Radford, J. W. Kim, T. Xu, G. Brockman, C. McLeavey, and I. Sutskever, ‘Robust speech recognition via large-scale weak supervision’, in International conference on machine learning, 2023, pp. 28492–28518.</t>
  </si>
  <si>
    <t>AS</t>
  </si>
  <si>
    <t>Y. Gong, Y.-A. Chung, and J. Glass, ‘Ast: Audio spectrogram transformer’, arXiv preprint arXiv:2104. 01778, 2021.</t>
  </si>
  <si>
    <t>Task name</t>
  </si>
  <si>
    <t>Short name</t>
  </si>
  <si>
    <t>L. Deng, ”The MNIST Database of Handwritten Digit Images for
Machine Learning Research [Best of the Web],” in IEEE Signal
Processing Magazine, vol. 29, no. 6, pp. 141-142, Nov. 2012, doi:
10.1109/MSP.2012.2211477.</t>
  </si>
  <si>
    <t>A. Krizhevsky, G. Hinton et al., ”Learning multiple layers of features
from tiny images”, 2009.</t>
  </si>
  <si>
    <t>O. Russakovsky, J. Deng et al., ”Imagenet large scale visual recognition
challenge”, International journal of computer vision, vol. 115, no. 3, pp.
211-252, 2015</t>
  </si>
  <si>
    <t>A. Wang, A. Singh, J. Michael, F. Hill, O. Levy, and S. Bowman, ‘GLUE: A multi-task benchmark and analysis platform for natural language understanding’, in Proceedings of the 2018 EMNLP workshop BlackboxNLP: Analyzing and interpreting neural networks for NLP, 2018, pp. 353–355.</t>
  </si>
  <si>
    <t>Y. Bisk, R. Zellers, J. Gao, Y. Choi, and Others, ‘Piqa: Reasoning about physical commonsense in natural language’, in Proceedings of the AAAI conference on artificial intelligence, 2020, vol. 34, pp. 7432–7439.</t>
  </si>
  <si>
    <t>HellaSwag</t>
  </si>
  <si>
    <t>R. Zellers, A. Holtzman, Y. Bisk, A. Farhadi, and Y. Choi, ‘HellaSwag: Can a Machine Really Finish Your Sentence?’, in Proceedings of the 57th Annual Meeting of the Association for Computational Linguistics, 2019, pp. 4791–4800.</t>
  </si>
  <si>
    <t>Winogrande</t>
  </si>
  <si>
    <t>K. Sakaguchi, R. L. Bras, C. Bhagavatula, and Y. Choi, ‘Winogrande: An adversarial winograd schema challenge at scale’, Communications of the ACM, vol. 64, no. 9, pp. 99–106, 2021.</t>
  </si>
  <si>
    <t>ARC easy</t>
  </si>
  <si>
    <t>P. Clark et al., ‘Think you have solved question answering? try arc, the ai2 reasoning challenge’, arXiv preprint arXiv:1803. 05457, 2018.</t>
  </si>
  <si>
    <t>ARC challenge</t>
  </si>
  <si>
    <t>A. Wang et al., ‘Superglue: A stickier benchmark for general-purpose language understanding systems’, Advances in neural information processing systems, vol. 32, 2019.</t>
  </si>
  <si>
    <t>Librispeech clean</t>
  </si>
  <si>
    <t>V. Panayotov, G. Chen, D. Povey and S. Khudanpur, "Librispeech: An ASR corpus based on public domain audio books," 2015 IEEE International Conference on Acoustics, Speech and Signal Processing (ICASSP), South Brisbane, QLD, Australia, 2015, pp. 5206-5210, doi: 10.1109/ICASSP.2015.7178964.</t>
  </si>
  <si>
    <t>Librispeech other</t>
  </si>
  <si>
    <t>VoxPopuli English</t>
  </si>
  <si>
    <t>C. Wang et al., ‘VoxPopuli: A large-scale multilingual speech corpus for representation learning, semi-supervised learning and interpretation’, in Proceedings of the 59th Annual Meeting of the Association for Computational Linguistics and the 11th International Joint Conference on Natural Language Processing (Volume 1: Long Papers), 2021, pp. 993–1003.</t>
  </si>
  <si>
    <t>AMI ihm</t>
  </si>
  <si>
    <t>J. Carletta et al., ‘The AMI meeting corpus: A pre-announcement’, in International workshop on machine learning for multimodal interaction, 2005, pp. 28–39.</t>
  </si>
  <si>
    <t>AMI sdm</t>
  </si>
  <si>
    <t>J. F. Gemmeke et al., ‘Audio set: An ontology and human-labeled dataset for audio events’, in 2017 IEEE international conference on acoustics, speech and signal processing (ICASSP), 2017, pp. 776–780.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</si>
</sst>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0"/>
      <color rgb="FF000000"/>
      <name val="Arial"/>
      <scheme val="minor"/>
    </font>
    <font>
      <b/>
      <sz val="10"/>
      <color rgb="FF000000"/>
      <name val="Arial"/>
    </font>
    <font>
      <b/>
      <sz val="10"/>
      <color theme="1"/>
      <name val="Arial"/>
    </font>
    <font>
      <sz val="10"/>
      <color theme="0"/>
      <name val="Arial"/>
      <family val="2"/>
      <scheme val="minor"/>
    </font>
    <font>
      <sz val="10"/>
      <color theme="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D5A6BD"/>
        <bgColor rgb="FFD5A6BD"/>
      </patternFill>
    </fill>
    <fill>
      <patternFill patternType="solid">
        <fgColor rgb="FFB4A7D6"/>
        <bgColor rgb="FFB4A7D6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  <fill>
      <patternFill patternType="solid">
        <fgColor rgb="FFCC4125"/>
        <bgColor rgb="FFCC4125"/>
      </patternFill>
    </fill>
    <fill>
      <patternFill patternType="solid">
        <fgColor rgb="FF76A5AF"/>
        <bgColor rgb="FF76A5AF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FFE599"/>
        <bgColor rgb="FFFFE599"/>
      </patternFill>
    </fill>
    <fill>
      <patternFill patternType="solid">
        <fgColor rgb="FFE6B8AF"/>
        <bgColor rgb="FFE6B8AF"/>
      </patternFill>
    </fill>
    <fill>
      <patternFill patternType="solid">
        <fgColor rgb="FFD0E0E3"/>
        <bgColor rgb="FFD0E0E3"/>
      </patternFill>
    </fill>
    <fill>
      <patternFill patternType="solid">
        <fgColor rgb="FFF3F3F3"/>
        <bgColor rgb="FFF3F3F3"/>
      </patternFill>
    </fill>
    <fill>
      <patternFill patternType="solid">
        <fgColor rgb="FFDD7E6B"/>
        <bgColor rgb="FFDD7E6B"/>
      </patternFill>
    </fill>
    <fill>
      <patternFill patternType="solid">
        <fgColor rgb="FFA2C4C9"/>
        <bgColor rgb="FFA2C4C9"/>
      </patternFill>
    </fill>
    <fill>
      <patternFill patternType="solid">
        <fgColor theme="6" tint="0.79998168889431442"/>
        <bgColor rgb="FFB4A7D6"/>
      </patternFill>
    </fill>
    <fill>
      <patternFill patternType="solid">
        <fgColor theme="6" tint="0.79998168889431442"/>
        <bgColor rgb="FFFFD966"/>
      </patternFill>
    </fill>
    <fill>
      <patternFill patternType="solid">
        <fgColor theme="6" tint="0.79998168889431442"/>
        <bgColor rgb="FF93C47D"/>
      </patternFill>
    </fill>
    <fill>
      <patternFill patternType="solid">
        <fgColor theme="6" tint="0.79998168889431442"/>
        <bgColor rgb="FFF6B26B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FFE599"/>
      </patternFill>
    </fill>
    <fill>
      <patternFill patternType="solid">
        <fgColor theme="6" tint="0.79998168889431442"/>
        <bgColor rgb="FFF9CB9C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0">
    <xf numFmtId="0" fontId="0" fillId="0" borderId="0" xfId="0"/>
    <xf numFmtId="4" fontId="0" fillId="2" borderId="5" xfId="0" applyNumberFormat="1" applyFill="1" applyBorder="1" applyAlignment="1">
      <alignment horizontal="right" wrapText="1"/>
    </xf>
    <xf numFmtId="4" fontId="0" fillId="3" borderId="5" xfId="0" applyNumberFormat="1" applyFill="1" applyBorder="1" applyAlignment="1">
      <alignment horizontal="right" wrapText="1"/>
    </xf>
    <xf numFmtId="4" fontId="0" fillId="4" borderId="5" xfId="0" applyNumberFormat="1" applyFill="1" applyBorder="1" applyAlignment="1">
      <alignment horizontal="right" wrapText="1"/>
    </xf>
    <xf numFmtId="4" fontId="0" fillId="5" borderId="5" xfId="0" applyNumberFormat="1" applyFill="1" applyBorder="1" applyAlignment="1">
      <alignment horizontal="right" wrapText="1"/>
    </xf>
    <xf numFmtId="4" fontId="3" fillId="4" borderId="5" xfId="0" applyNumberFormat="1" applyFont="1" applyFill="1" applyBorder="1" applyAlignment="1">
      <alignment horizontal="right" wrapText="1"/>
    </xf>
    <xf numFmtId="4" fontId="3" fillId="5" borderId="5" xfId="0" applyNumberFormat="1" applyFont="1" applyFill="1" applyBorder="1" applyAlignment="1">
      <alignment horizontal="right" wrapText="1"/>
    </xf>
    <xf numFmtId="4" fontId="2" fillId="2" borderId="5" xfId="0" applyNumberFormat="1" applyFont="1" applyFill="1" applyBorder="1" applyAlignment="1">
      <alignment horizontal="right"/>
    </xf>
    <xf numFmtId="4" fontId="2" fillId="3" borderId="5" xfId="0" applyNumberFormat="1" applyFont="1" applyFill="1" applyBorder="1" applyAlignment="1">
      <alignment horizontal="right"/>
    </xf>
    <xf numFmtId="4" fontId="2" fillId="4" borderId="5" xfId="0" applyNumberFormat="1" applyFont="1" applyFill="1" applyBorder="1" applyAlignment="1">
      <alignment horizontal="right"/>
    </xf>
    <xf numFmtId="4" fontId="2" fillId="5" borderId="5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4" fontId="2" fillId="0" borderId="0" xfId="0" applyNumberFormat="1" applyFont="1" applyAlignment="1">
      <alignment horizontal="right"/>
    </xf>
    <xf numFmtId="0" fontId="4" fillId="17" borderId="5" xfId="0" applyFont="1" applyFill="1" applyBorder="1" applyAlignment="1">
      <alignment horizontal="center" wrapText="1"/>
    </xf>
    <xf numFmtId="0" fontId="5" fillId="18" borderId="5" xfId="0" applyFont="1" applyFill="1" applyBorder="1" applyAlignment="1">
      <alignment horizontal="center" vertical="center" wrapText="1"/>
    </xf>
    <xf numFmtId="0" fontId="5" fillId="19" borderId="5" xfId="0" applyFont="1" applyFill="1" applyBorder="1" applyAlignment="1">
      <alignment horizontal="center" vertical="center" wrapText="1"/>
    </xf>
    <xf numFmtId="0" fontId="4" fillId="12" borderId="5" xfId="0" applyFont="1" applyFill="1" applyBorder="1" applyAlignment="1">
      <alignment horizontal="center" vertical="center" wrapText="1"/>
    </xf>
    <xf numFmtId="0" fontId="2" fillId="20" borderId="5" xfId="0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horizontal="center" vertical="center" wrapText="1"/>
    </xf>
    <xf numFmtId="0" fontId="2" fillId="22" borderId="5" xfId="0" applyFont="1" applyFill="1" applyBorder="1" applyAlignment="1">
      <alignment horizontal="center" vertical="center"/>
    </xf>
    <xf numFmtId="4" fontId="0" fillId="9" borderId="5" xfId="0" applyNumberForma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23" borderId="5" xfId="0" applyFont="1" applyFill="1" applyBorder="1" applyAlignment="1">
      <alignment horizontal="center" vertical="center" wrapText="1"/>
    </xf>
    <xf numFmtId="4" fontId="4" fillId="10" borderId="5" xfId="0" applyNumberFormat="1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17" borderId="5" xfId="0" applyFill="1" applyBorder="1" applyAlignment="1">
      <alignment horizontal="center" wrapText="1"/>
    </xf>
    <xf numFmtId="0" fontId="2" fillId="18" borderId="5" xfId="0" applyFont="1" applyFill="1" applyBorder="1" applyAlignment="1">
      <alignment horizontal="right" vertical="center"/>
    </xf>
    <xf numFmtId="4" fontId="2" fillId="19" borderId="5" xfId="0" applyNumberFormat="1" applyFont="1" applyFill="1" applyBorder="1" applyAlignment="1">
      <alignment horizontal="right"/>
    </xf>
    <xf numFmtId="4" fontId="0" fillId="9" borderId="5" xfId="0" applyNumberFormat="1" applyFill="1" applyBorder="1" applyAlignment="1">
      <alignment horizontal="right" wrapText="1"/>
    </xf>
    <xf numFmtId="4" fontId="0" fillId="11" borderId="5" xfId="0" applyNumberFormat="1" applyFill="1" applyBorder="1" applyAlignment="1">
      <alignment horizontal="right" wrapText="1"/>
    </xf>
    <xf numFmtId="4" fontId="0" fillId="23" borderId="5" xfId="0" applyNumberFormat="1" applyFill="1" applyBorder="1" applyAlignment="1">
      <alignment horizontal="right" wrapText="1"/>
    </xf>
    <xf numFmtId="4" fontId="0" fillId="10" borderId="5" xfId="0" applyNumberFormat="1" applyFill="1" applyBorder="1" applyAlignment="1">
      <alignment horizontal="right" wrapText="1"/>
    </xf>
    <xf numFmtId="4" fontId="2" fillId="0" borderId="5" xfId="0" applyNumberFormat="1" applyFont="1" applyBorder="1"/>
    <xf numFmtId="0" fontId="0" fillId="27" borderId="5" xfId="0" applyFill="1" applyBorder="1" applyAlignment="1">
      <alignment horizontal="center" wrapText="1"/>
    </xf>
    <xf numFmtId="0" fontId="2" fillId="28" borderId="5" xfId="0" applyFont="1" applyFill="1" applyBorder="1" applyAlignment="1">
      <alignment horizontal="right" vertical="center"/>
    </xf>
    <xf numFmtId="4" fontId="2" fillId="7" borderId="5" xfId="0" applyNumberFormat="1" applyFont="1" applyFill="1" applyBorder="1" applyAlignment="1">
      <alignment horizontal="right"/>
    </xf>
    <xf numFmtId="4" fontId="3" fillId="23" borderId="5" xfId="0" applyNumberFormat="1" applyFont="1" applyFill="1" applyBorder="1" applyAlignment="1">
      <alignment horizontal="right" wrapText="1"/>
    </xf>
    <xf numFmtId="4" fontId="3" fillId="10" borderId="5" xfId="0" applyNumberFormat="1" applyFont="1" applyFill="1" applyBorder="1" applyAlignment="1">
      <alignment horizontal="right" wrapText="1"/>
    </xf>
    <xf numFmtId="0" fontId="2" fillId="27" borderId="5" xfId="0" applyFont="1" applyFill="1" applyBorder="1" applyAlignment="1">
      <alignment horizontal="center"/>
    </xf>
    <xf numFmtId="0" fontId="2" fillId="17" borderId="5" xfId="0" applyFont="1" applyFill="1" applyBorder="1" applyAlignment="1">
      <alignment horizontal="center"/>
    </xf>
    <xf numFmtId="4" fontId="2" fillId="9" borderId="5" xfId="0" applyNumberFormat="1" applyFont="1" applyFill="1" applyBorder="1" applyAlignment="1">
      <alignment horizontal="right"/>
    </xf>
    <xf numFmtId="4" fontId="2" fillId="11" borderId="5" xfId="0" applyNumberFormat="1" applyFont="1" applyFill="1" applyBorder="1" applyAlignment="1">
      <alignment horizontal="right"/>
    </xf>
    <xf numFmtId="4" fontId="2" fillId="23" borderId="5" xfId="0" applyNumberFormat="1" applyFont="1" applyFill="1" applyBorder="1" applyAlignment="1">
      <alignment horizontal="right"/>
    </xf>
    <xf numFmtId="4" fontId="2" fillId="10" borderId="5" xfId="0" applyNumberFormat="1" applyFont="1" applyFill="1" applyBorder="1" applyAlignment="1">
      <alignment horizontal="right"/>
    </xf>
    <xf numFmtId="0" fontId="2" fillId="6" borderId="5" xfId="0" applyFont="1" applyFill="1" applyBorder="1" applyAlignment="1">
      <alignment horizontal="center" vertical="center"/>
    </xf>
    <xf numFmtId="0" fontId="2" fillId="28" borderId="5" xfId="0" applyFont="1" applyFill="1" applyBorder="1"/>
    <xf numFmtId="0" fontId="2" fillId="24" borderId="5" xfId="0" applyFont="1" applyFill="1" applyBorder="1"/>
    <xf numFmtId="0" fontId="2" fillId="25" borderId="5" xfId="0" applyFont="1" applyFill="1" applyBorder="1"/>
    <xf numFmtId="0" fontId="2" fillId="13" borderId="5" xfId="0" applyFont="1" applyFill="1" applyBorder="1"/>
    <xf numFmtId="4" fontId="2" fillId="9" borderId="5" xfId="0" applyNumberFormat="1" applyFont="1" applyFill="1" applyBorder="1"/>
    <xf numFmtId="4" fontId="2" fillId="9" borderId="5" xfId="0" applyNumberFormat="1" applyFont="1" applyFill="1" applyBorder="1" applyAlignment="1">
      <alignment horizontal="center"/>
    </xf>
    <xf numFmtId="4" fontId="2" fillId="11" borderId="5" xfId="0" applyNumberFormat="1" applyFont="1" applyFill="1" applyBorder="1"/>
    <xf numFmtId="4" fontId="2" fillId="11" borderId="5" xfId="0" applyNumberFormat="1" applyFont="1" applyFill="1" applyBorder="1" applyAlignment="1">
      <alignment horizontal="center"/>
    </xf>
    <xf numFmtId="4" fontId="2" fillId="23" borderId="5" xfId="0" applyNumberFormat="1" applyFont="1" applyFill="1" applyBorder="1"/>
    <xf numFmtId="4" fontId="2" fillId="23" borderId="2" xfId="0" applyNumberFormat="1" applyFont="1" applyFill="1" applyBorder="1" applyAlignment="1">
      <alignment horizontal="center"/>
    </xf>
    <xf numFmtId="4" fontId="2" fillId="23" borderId="5" xfId="0" applyNumberFormat="1" applyFont="1" applyFill="1" applyBorder="1" applyAlignment="1">
      <alignment horizontal="center"/>
    </xf>
    <xf numFmtId="49" fontId="2" fillId="28" borderId="5" xfId="0" applyNumberFormat="1" applyFont="1" applyFill="1" applyBorder="1" applyAlignment="1">
      <alignment horizontal="right"/>
    </xf>
    <xf numFmtId="4" fontId="2" fillId="2" borderId="5" xfId="0" applyNumberFormat="1" applyFont="1" applyFill="1" applyBorder="1"/>
    <xf numFmtId="4" fontId="2" fillId="3" borderId="5" xfId="0" applyNumberFormat="1" applyFont="1" applyFill="1" applyBorder="1"/>
    <xf numFmtId="4" fontId="2" fillId="4" borderId="2" xfId="0" applyNumberFormat="1" applyFont="1" applyFill="1" applyBorder="1" applyAlignment="1">
      <alignment horizontal="right"/>
    </xf>
    <xf numFmtId="4" fontId="2" fillId="4" borderId="5" xfId="0" applyNumberFormat="1" applyFont="1" applyFill="1" applyBorder="1"/>
    <xf numFmtId="0" fontId="2" fillId="24" borderId="5" xfId="0" applyFont="1" applyFill="1" applyBorder="1" applyAlignment="1">
      <alignment horizontal="center"/>
    </xf>
    <xf numFmtId="49" fontId="2" fillId="25" borderId="5" xfId="0" applyNumberFormat="1" applyFont="1" applyFill="1" applyBorder="1" applyAlignment="1">
      <alignment horizontal="right" vertical="center"/>
    </xf>
    <xf numFmtId="49" fontId="2" fillId="18" borderId="5" xfId="0" applyNumberFormat="1" applyFont="1" applyFill="1" applyBorder="1" applyAlignment="1">
      <alignment horizontal="right" vertical="center"/>
    </xf>
    <xf numFmtId="4" fontId="2" fillId="23" borderId="9" xfId="0" applyNumberFormat="1" applyFont="1" applyFill="1" applyBorder="1"/>
    <xf numFmtId="4" fontId="2" fillId="23" borderId="1" xfId="0" applyNumberFormat="1" applyFont="1" applyFill="1" applyBorder="1"/>
    <xf numFmtId="4" fontId="2" fillId="4" borderId="2" xfId="0" applyNumberFormat="1" applyFont="1" applyFill="1" applyBorder="1"/>
    <xf numFmtId="0" fontId="2" fillId="6" borderId="5" xfId="0" applyFont="1" applyFill="1" applyBorder="1" applyAlignment="1">
      <alignment horizontal="center"/>
    </xf>
    <xf numFmtId="4" fontId="2" fillId="11" borderId="15" xfId="0" applyNumberFormat="1" applyFont="1" applyFill="1" applyBorder="1"/>
    <xf numFmtId="4" fontId="2" fillId="23" borderId="2" xfId="0" applyNumberFormat="1" applyFont="1" applyFill="1" applyBorder="1"/>
    <xf numFmtId="4" fontId="2" fillId="23" borderId="15" xfId="0" applyNumberFormat="1" applyFont="1" applyFill="1" applyBorder="1"/>
    <xf numFmtId="4" fontId="2" fillId="2" borderId="1" xfId="0" applyNumberFormat="1" applyFont="1" applyFill="1" applyBorder="1"/>
    <xf numFmtId="4" fontId="2" fillId="3" borderId="1" xfId="0" applyNumberFormat="1" applyFont="1" applyFill="1" applyBorder="1"/>
    <xf numFmtId="4" fontId="2" fillId="3" borderId="15" xfId="0" applyNumberFormat="1" applyFont="1" applyFill="1" applyBorder="1"/>
    <xf numFmtId="4" fontId="2" fillId="4" borderId="1" xfId="0" applyNumberFormat="1" applyFont="1" applyFill="1" applyBorder="1"/>
    <xf numFmtId="4" fontId="2" fillId="4" borderId="9" xfId="0" applyNumberFormat="1" applyFont="1" applyFill="1" applyBorder="1"/>
    <xf numFmtId="4" fontId="2" fillId="4" borderId="15" xfId="0" applyNumberFormat="1" applyFont="1" applyFill="1" applyBorder="1"/>
    <xf numFmtId="0" fontId="2" fillId="25" borderId="5" xfId="0" applyFont="1" applyFill="1" applyBorder="1" applyAlignment="1">
      <alignment horizontal="right" vertical="center"/>
    </xf>
    <xf numFmtId="0" fontId="2" fillId="6" borderId="2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right"/>
    </xf>
    <xf numFmtId="0" fontId="2" fillId="6" borderId="5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16" borderId="5" xfId="0" applyFont="1" applyFill="1" applyBorder="1" applyAlignment="1">
      <alignment horizontal="center" vertical="center"/>
    </xf>
    <xf numFmtId="4" fontId="6" fillId="0" borderId="0" xfId="0" applyNumberFormat="1" applyFont="1" applyAlignment="1">
      <alignment horizontal="right"/>
    </xf>
    <xf numFmtId="4" fontId="5" fillId="0" borderId="0" xfId="0" applyNumberFormat="1" applyFont="1" applyAlignment="1">
      <alignment horizontal="right"/>
    </xf>
    <xf numFmtId="4" fontId="0" fillId="16" borderId="5" xfId="0" applyNumberForma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/>
    <xf numFmtId="0" fontId="1" fillId="0" borderId="7" xfId="0" applyFont="1" applyBorder="1"/>
    <xf numFmtId="0" fontId="1" fillId="0" borderId="4" xfId="0" applyFont="1" applyBorder="1"/>
    <xf numFmtId="0" fontId="1" fillId="0" borderId="3" xfId="0" applyFont="1" applyBorder="1"/>
    <xf numFmtId="0" fontId="2" fillId="6" borderId="11" xfId="0" applyFont="1" applyFill="1" applyBorder="1"/>
    <xf numFmtId="0" fontId="1" fillId="0" borderId="11" xfId="0" applyFont="1" applyBorder="1"/>
    <xf numFmtId="0" fontId="2" fillId="26" borderId="0" xfId="0" applyFont="1" applyFill="1"/>
    <xf numFmtId="0" fontId="2" fillId="0" borderId="0" xfId="0" applyFont="1"/>
    <xf numFmtId="4" fontId="2" fillId="26" borderId="0" xfId="0" applyNumberFormat="1" applyFont="1" applyFill="1"/>
    <xf numFmtId="4" fontId="2" fillId="0" borderId="0" xfId="0" applyNumberFormat="1" applyFont="1"/>
    <xf numFmtId="4" fontId="2" fillId="26" borderId="6" xfId="0" applyNumberFormat="1" applyFont="1" applyFill="1" applyBorder="1"/>
    <xf numFmtId="0" fontId="1" fillId="0" borderId="13" xfId="0" applyFont="1" applyBorder="1"/>
    <xf numFmtId="0" fontId="1" fillId="0" borderId="14" xfId="0" applyFont="1" applyBorder="1"/>
    <xf numFmtId="0" fontId="2" fillId="6" borderId="2" xfId="0" applyFont="1" applyFill="1" applyBorder="1"/>
    <xf numFmtId="4" fontId="2" fillId="0" borderId="6" xfId="0" applyNumberFormat="1" applyFont="1" applyBorder="1"/>
    <xf numFmtId="0" fontId="2" fillId="6" borderId="13" xfId="0" applyFont="1" applyFill="1" applyBorder="1"/>
    <xf numFmtId="4" fontId="2" fillId="26" borderId="12" xfId="0" applyNumberFormat="1" applyFont="1" applyFill="1" applyBorder="1"/>
    <xf numFmtId="0" fontId="2" fillId="26" borderId="13" xfId="0" applyFont="1" applyFill="1" applyBorder="1"/>
    <xf numFmtId="0" fontId="2" fillId="6" borderId="1" xfId="0" applyFont="1" applyFill="1" applyBorder="1" applyAlignment="1">
      <alignment horizontal="center" vertical="center"/>
    </xf>
    <xf numFmtId="0" fontId="1" fillId="0" borderId="15" xfId="0" applyFont="1" applyBorder="1"/>
    <xf numFmtId="0" fontId="2" fillId="16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/>
    </xf>
    <xf numFmtId="0" fontId="2" fillId="6" borderId="9" xfId="0" applyFont="1" applyFill="1" applyBorder="1"/>
    <xf numFmtId="0" fontId="1" fillId="0" borderId="8" xfId="0" applyFont="1" applyBorder="1"/>
    <xf numFmtId="0" fontId="1" fillId="0" borderId="10" xfId="0" applyFont="1" applyBorder="1"/>
    <xf numFmtId="0" fontId="1" fillId="0" borderId="12" xfId="0" applyFont="1" applyBorder="1"/>
    <xf numFmtId="0" fontId="4" fillId="9" borderId="2" xfId="0" applyFont="1" applyFill="1" applyBorder="1" applyAlignment="1">
      <alignment horizontal="center" wrapText="1"/>
    </xf>
    <xf numFmtId="0" fontId="4" fillId="11" borderId="2" xfId="0" applyFont="1" applyFill="1" applyBorder="1" applyAlignment="1">
      <alignment horizontal="center" vertical="center" wrapText="1"/>
    </xf>
    <xf numFmtId="0" fontId="4" fillId="23" borderId="2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wrapText="1"/>
    </xf>
    <xf numFmtId="0" fontId="2" fillId="25" borderId="1" xfId="0" applyFont="1" applyFill="1" applyBorder="1"/>
    <xf numFmtId="0" fontId="2" fillId="13" borderId="1" xfId="0" applyFont="1" applyFill="1" applyBorder="1"/>
    <xf numFmtId="0" fontId="2" fillId="26" borderId="6" xfId="0" applyFont="1" applyFill="1" applyBorder="1"/>
    <xf numFmtId="0" fontId="2" fillId="0" borderId="12" xfId="0" applyFont="1" applyBorder="1"/>
    <xf numFmtId="4" fontId="0" fillId="6" borderId="2" xfId="0" applyNumberForma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/>
    </xf>
    <xf numFmtId="0" fontId="2" fillId="15" borderId="1" xfId="0" applyFont="1" applyFill="1" applyBorder="1"/>
    <xf numFmtId="0" fontId="2" fillId="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/>
    <xf numFmtId="0" fontId="2" fillId="0" borderId="6" xfId="0" applyFont="1" applyBorder="1"/>
    <xf numFmtId="4" fontId="9" fillId="29" borderId="1" xfId="0" applyNumberFormat="1" applyFont="1" applyFill="1" applyBorder="1" applyAlignment="1">
      <alignment horizontal="center" vertical="center"/>
    </xf>
    <xf numFmtId="0" fontId="9" fillId="30" borderId="5" xfId="0" applyFont="1" applyFill="1" applyBorder="1" applyAlignment="1">
      <alignment horizontal="center" vertical="center"/>
    </xf>
    <xf numFmtId="0" fontId="9" fillId="31" borderId="1" xfId="0" applyFont="1" applyFill="1" applyBorder="1" applyAlignment="1">
      <alignment horizontal="center" vertical="center"/>
    </xf>
    <xf numFmtId="0" fontId="9" fillId="32" borderId="5" xfId="0" applyFont="1" applyFill="1" applyBorder="1" applyAlignment="1">
      <alignment horizontal="center" vertical="center"/>
    </xf>
    <xf numFmtId="0" fontId="10" fillId="33" borderId="4" xfId="0" applyFont="1" applyFill="1" applyBorder="1"/>
    <xf numFmtId="0" fontId="9" fillId="34" borderId="5" xfId="0" applyFont="1" applyFill="1" applyBorder="1" applyAlignment="1">
      <alignment horizontal="center" vertical="center"/>
    </xf>
    <xf numFmtId="0" fontId="9" fillId="35" borderId="5" xfId="0" applyFont="1" applyFill="1" applyBorder="1" applyAlignment="1">
      <alignment horizontal="center" vertical="center"/>
    </xf>
    <xf numFmtId="4" fontId="9" fillId="12" borderId="1" xfId="0" applyNumberFormat="1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/>
    </xf>
    <xf numFmtId="0" fontId="9" fillId="22" borderId="5" xfId="0" applyFont="1" applyFill="1" applyBorder="1" applyAlignment="1">
      <alignment horizontal="center" vertical="center"/>
    </xf>
    <xf numFmtId="0" fontId="10" fillId="0" borderId="15" xfId="0" applyFont="1" applyBorder="1"/>
    <xf numFmtId="0" fontId="9" fillId="8" borderId="5" xfId="0" applyFont="1" applyFill="1" applyBorder="1" applyAlignment="1">
      <alignment horizontal="center" vertical="center"/>
    </xf>
    <xf numFmtId="0" fontId="10" fillId="0" borderId="4" xfId="0" applyFont="1" applyBorder="1"/>
    <xf numFmtId="0" fontId="9" fillId="8" borderId="1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15" borderId="5" xfId="0" applyFont="1" applyFill="1" applyBorder="1"/>
    <xf numFmtId="0" fontId="9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14" borderId="5" xfId="0" applyFont="1" applyFill="1" applyBorder="1" applyAlignment="1">
      <alignment horizontal="center" vertical="center"/>
    </xf>
    <xf numFmtId="4" fontId="9" fillId="12" borderId="1" xfId="0" applyNumberFormat="1" applyFont="1" applyFill="1" applyBorder="1" applyAlignment="1">
      <alignment horizontal="center" vertical="center" wrapText="1"/>
    </xf>
    <xf numFmtId="4" fontId="9" fillId="12" borderId="5" xfId="0" applyNumberFormat="1" applyFont="1" applyFill="1" applyBorder="1" applyAlignment="1">
      <alignment horizontal="center" vertical="center"/>
    </xf>
    <xf numFmtId="0" fontId="9" fillId="20" borderId="5" xfId="0" applyFont="1" applyFill="1" applyBorder="1" applyAlignment="1">
      <alignment horizontal="center" vertical="center"/>
    </xf>
    <xf numFmtId="0" fontId="9" fillId="21" borderId="5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vertical="center"/>
    </xf>
    <xf numFmtId="0" fontId="9" fillId="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/>
    </xf>
    <xf numFmtId="0" fontId="9" fillId="22" borderId="1" xfId="0" applyFont="1" applyFill="1" applyBorder="1" applyAlignment="1">
      <alignment vertical="center"/>
    </xf>
    <xf numFmtId="4" fontId="0" fillId="3" borderId="1" xfId="0" applyNumberFormat="1" applyFill="1" applyBorder="1" applyAlignment="1">
      <alignment vertical="center" wrapText="1"/>
    </xf>
    <xf numFmtId="4" fontId="3" fillId="3" borderId="1" xfId="0" applyNumberFormat="1" applyFont="1" applyFill="1" applyBorder="1" applyAlignment="1">
      <alignment vertical="center" wrapText="1"/>
    </xf>
    <xf numFmtId="4" fontId="0" fillId="2" borderId="1" xfId="0" applyNumberFormat="1" applyFill="1" applyBorder="1" applyAlignment="1">
      <alignment vertical="center" wrapText="1"/>
    </xf>
    <xf numFmtId="4" fontId="2" fillId="9" borderId="1" xfId="0" applyNumberFormat="1" applyFont="1" applyFill="1" applyBorder="1" applyAlignment="1">
      <alignment vertical="center"/>
    </xf>
    <xf numFmtId="4" fontId="0" fillId="11" borderId="1" xfId="0" applyNumberFormat="1" applyFill="1" applyBorder="1" applyAlignment="1">
      <alignment vertical="center" wrapText="1"/>
    </xf>
    <xf numFmtId="4" fontId="2" fillId="11" borderId="1" xfId="0" applyNumberFormat="1" applyFont="1" applyFill="1" applyBorder="1" applyAlignment="1">
      <alignment vertical="center"/>
    </xf>
    <xf numFmtId="4" fontId="9" fillId="12" borderId="15" xfId="0" applyNumberFormat="1" applyFont="1" applyFill="1" applyBorder="1" applyAlignment="1">
      <alignment horizontal="center" vertical="center"/>
    </xf>
    <xf numFmtId="4" fontId="9" fillId="12" borderId="4" xfId="0" applyNumberFormat="1" applyFont="1" applyFill="1" applyBorder="1" applyAlignment="1">
      <alignment horizontal="center" vertical="center"/>
    </xf>
    <xf numFmtId="0" fontId="9" fillId="20" borderId="15" xfId="0" applyFont="1" applyFill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15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4" fontId="2" fillId="0" borderId="0" xfId="0" applyNumberFormat="1" applyFont="1" applyBorder="1" applyAlignment="1">
      <alignment horizontal="center"/>
    </xf>
    <xf numFmtId="0" fontId="1" fillId="0" borderId="0" xfId="0" applyFont="1" applyBorder="1"/>
    <xf numFmtId="0" fontId="2" fillId="6" borderId="4" xfId="0" applyFont="1" applyFill="1" applyBorder="1" applyAlignment="1">
      <alignment horizontal="center" vertical="center"/>
    </xf>
    <xf numFmtId="4" fontId="2" fillId="26" borderId="0" xfId="0" applyNumberFormat="1" applyFont="1" applyFill="1" applyBorder="1"/>
    <xf numFmtId="0" fontId="0" fillId="0" borderId="0" xfId="0" applyBorder="1"/>
    <xf numFmtId="4" fontId="2" fillId="0" borderId="0" xfId="0" applyNumberFormat="1" applyFont="1" applyBorder="1"/>
    <xf numFmtId="4" fontId="2" fillId="26" borderId="0" xfId="0" applyNumberFormat="1" applyFont="1" applyFill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2" fillId="6" borderId="19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4" fontId="0" fillId="9" borderId="20" xfId="0" applyNumberFormat="1" applyFill="1" applyBorder="1" applyAlignment="1">
      <alignment horizontal="right" wrapText="1"/>
    </xf>
    <xf numFmtId="4" fontId="2" fillId="2" borderId="20" xfId="0" applyNumberFormat="1" applyFont="1" applyFill="1" applyBorder="1" applyAlignment="1">
      <alignment horizontal="right"/>
    </xf>
    <xf numFmtId="4" fontId="2" fillId="9" borderId="20" xfId="0" applyNumberFormat="1" applyFont="1" applyFill="1" applyBorder="1" applyAlignment="1">
      <alignment horizontal="right"/>
    </xf>
    <xf numFmtId="4" fontId="2" fillId="9" borderId="22" xfId="0" applyNumberFormat="1" applyFont="1" applyFill="1" applyBorder="1" applyAlignment="1">
      <alignment vertical="center"/>
    </xf>
    <xf numFmtId="4" fontId="0" fillId="2" borderId="22" xfId="0" applyNumberFormat="1" applyFill="1" applyBorder="1" applyAlignment="1">
      <alignment vertical="center" wrapText="1"/>
    </xf>
    <xf numFmtId="0" fontId="2" fillId="6" borderId="20" xfId="0" applyFont="1" applyFill="1" applyBorder="1" applyAlignment="1">
      <alignment horizontal="center" vertical="center"/>
    </xf>
    <xf numFmtId="4" fontId="0" fillId="9" borderId="23" xfId="0" applyNumberFormat="1" applyFill="1" applyBorder="1" applyAlignment="1">
      <alignment horizontal="right" wrapText="1"/>
    </xf>
    <xf numFmtId="4" fontId="0" fillId="2" borderId="23" xfId="0" applyNumberFormat="1" applyFill="1" applyBorder="1" applyAlignment="1">
      <alignment horizontal="right" wrapText="1"/>
    </xf>
    <xf numFmtId="4" fontId="0" fillId="9" borderId="24" xfId="0" applyNumberFormat="1" applyFill="1" applyBorder="1" applyAlignment="1">
      <alignment vertical="center" wrapText="1"/>
    </xf>
    <xf numFmtId="4" fontId="0" fillId="2" borderId="24" xfId="0" applyNumberFormat="1" applyFill="1" applyBorder="1" applyAlignment="1">
      <alignment vertical="center" wrapText="1"/>
    </xf>
    <xf numFmtId="4" fontId="3" fillId="10" borderId="3" xfId="0" applyNumberFormat="1" applyFont="1" applyFill="1" applyBorder="1" applyAlignment="1">
      <alignment horizontal="right" wrapText="1"/>
    </xf>
    <xf numFmtId="4" fontId="2" fillId="5" borderId="3" xfId="0" applyNumberFormat="1" applyFont="1" applyFill="1" applyBorder="1" applyAlignment="1">
      <alignment horizontal="right"/>
    </xf>
    <xf numFmtId="4" fontId="2" fillId="10" borderId="3" xfId="0" applyNumberFormat="1" applyFont="1" applyFill="1" applyBorder="1" applyAlignment="1">
      <alignment horizontal="right"/>
    </xf>
    <xf numFmtId="4" fontId="3" fillId="5" borderId="3" xfId="0" applyNumberFormat="1" applyFont="1" applyFill="1" applyBorder="1" applyAlignment="1">
      <alignment horizontal="right" wrapText="1"/>
    </xf>
    <xf numFmtId="4" fontId="3" fillId="23" borderId="25" xfId="0" applyNumberFormat="1" applyFont="1" applyFill="1" applyBorder="1" applyAlignment="1">
      <alignment horizontal="right" wrapText="1"/>
    </xf>
    <xf numFmtId="4" fontId="3" fillId="4" borderId="25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3">
    <dxf>
      <fill>
        <patternFill patternType="solid">
          <fgColor rgb="FF6AA84F"/>
          <bgColor rgb="FF6AA84F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 patternType="solid">
          <fgColor rgb="FFCC0000"/>
          <bgColor rgb="FFCC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AO71"/>
  <sheetViews>
    <sheetView tabSelected="1" workbookViewId="0">
      <selection activeCell="AI19" sqref="AI19:AM19"/>
    </sheetView>
  </sheetViews>
  <sheetFormatPr defaultColWidth="12.5703125" defaultRowHeight="15.75" customHeight="1" x14ac:dyDescent="0.2"/>
  <cols>
    <col min="1" max="1" width="14" customWidth="1"/>
    <col min="2" max="2" width="11.28515625" customWidth="1"/>
    <col min="3" max="4" width="6.42578125" customWidth="1"/>
    <col min="5" max="5" width="10.5703125" customWidth="1"/>
    <col min="6" max="6" width="11.140625" customWidth="1"/>
    <col min="7" max="7" width="10.5703125" customWidth="1"/>
    <col min="8" max="41" width="6.42578125" customWidth="1"/>
    <col min="43" max="44" width="6.42578125" customWidth="1"/>
  </cols>
  <sheetData>
    <row r="2" spans="1:41" ht="25.5" x14ac:dyDescent="0.2">
      <c r="A2" s="13" t="s">
        <v>0</v>
      </c>
      <c r="B2" s="14" t="s">
        <v>10</v>
      </c>
      <c r="C2" s="15" t="s">
        <v>11</v>
      </c>
      <c r="D2" s="16" t="s">
        <v>12</v>
      </c>
      <c r="E2" s="17" t="s">
        <v>13</v>
      </c>
      <c r="F2" s="18" t="s">
        <v>14</v>
      </c>
      <c r="G2" s="19" t="s">
        <v>15</v>
      </c>
      <c r="H2" s="115" t="s">
        <v>16</v>
      </c>
      <c r="I2" s="94"/>
      <c r="J2" s="94"/>
      <c r="K2" s="94"/>
      <c r="L2" s="94"/>
      <c r="M2" s="94"/>
      <c r="N2" s="94"/>
      <c r="O2" s="92"/>
      <c r="P2" s="20" t="s">
        <v>17</v>
      </c>
      <c r="Q2" s="116" t="s">
        <v>18</v>
      </c>
      <c r="R2" s="94"/>
      <c r="S2" s="94"/>
      <c r="T2" s="94"/>
      <c r="U2" s="94"/>
      <c r="V2" s="94"/>
      <c r="W2" s="94"/>
      <c r="X2" s="92"/>
      <c r="Y2" s="21" t="s">
        <v>17</v>
      </c>
      <c r="Z2" s="117" t="s">
        <v>19</v>
      </c>
      <c r="AA2" s="94"/>
      <c r="AB2" s="94"/>
      <c r="AC2" s="94"/>
      <c r="AD2" s="94"/>
      <c r="AE2" s="94"/>
      <c r="AF2" s="94"/>
      <c r="AG2" s="92"/>
      <c r="AH2" s="22" t="s">
        <v>17</v>
      </c>
      <c r="AI2" s="118" t="s">
        <v>20</v>
      </c>
      <c r="AJ2" s="94"/>
      <c r="AK2" s="94"/>
      <c r="AL2" s="92"/>
      <c r="AM2" s="23" t="s">
        <v>17</v>
      </c>
      <c r="AN2" s="24" t="s">
        <v>21</v>
      </c>
      <c r="AO2" s="24" t="s">
        <v>22</v>
      </c>
    </row>
    <row r="3" spans="1:41" ht="15.75" customHeight="1" x14ac:dyDescent="0.2">
      <c r="A3" s="119"/>
      <c r="B3" s="120"/>
      <c r="C3" s="121"/>
      <c r="D3" s="126"/>
      <c r="E3" s="127"/>
      <c r="F3" s="129"/>
      <c r="G3" s="128"/>
      <c r="H3" s="110" t="s">
        <v>23</v>
      </c>
      <c r="I3" s="92"/>
      <c r="J3" s="111"/>
      <c r="K3" s="112"/>
      <c r="L3" s="112"/>
      <c r="M3" s="112"/>
      <c r="N3" s="112"/>
      <c r="O3" s="113"/>
      <c r="P3" s="125"/>
      <c r="Q3" s="110" t="s">
        <v>23</v>
      </c>
      <c r="R3" s="92"/>
      <c r="S3" s="111"/>
      <c r="T3" s="112"/>
      <c r="U3" s="112"/>
      <c r="V3" s="112"/>
      <c r="W3" s="112"/>
      <c r="X3" s="113"/>
      <c r="Y3" s="125"/>
      <c r="Z3" s="110" t="s">
        <v>23</v>
      </c>
      <c r="AA3" s="92"/>
      <c r="AB3" s="111"/>
      <c r="AC3" s="112"/>
      <c r="AD3" s="112"/>
      <c r="AE3" s="112"/>
      <c r="AF3" s="112"/>
      <c r="AG3" s="113"/>
      <c r="AH3" s="125"/>
      <c r="AI3" s="110" t="s">
        <v>23</v>
      </c>
      <c r="AJ3" s="92"/>
      <c r="AK3" s="111"/>
      <c r="AL3" s="113"/>
      <c r="AM3" s="130"/>
      <c r="AN3" s="130"/>
      <c r="AO3" s="130"/>
    </row>
    <row r="4" spans="1:41" ht="15.75" customHeight="1" x14ac:dyDescent="0.2">
      <c r="A4" s="91"/>
      <c r="B4" s="91"/>
      <c r="C4" s="91"/>
      <c r="D4" s="91"/>
      <c r="E4" s="91"/>
      <c r="F4" s="91"/>
      <c r="G4" s="91"/>
      <c r="H4" s="26" t="s">
        <v>1</v>
      </c>
      <c r="I4" s="26" t="s">
        <v>2</v>
      </c>
      <c r="J4" s="114"/>
      <c r="K4" s="100"/>
      <c r="L4" s="100"/>
      <c r="M4" s="100"/>
      <c r="N4" s="100"/>
      <c r="O4" s="101"/>
      <c r="P4" s="91"/>
      <c r="Q4" s="26" t="s">
        <v>1</v>
      </c>
      <c r="R4" s="26" t="s">
        <v>2</v>
      </c>
      <c r="S4" s="114"/>
      <c r="T4" s="100"/>
      <c r="U4" s="100"/>
      <c r="V4" s="100"/>
      <c r="W4" s="100"/>
      <c r="X4" s="101"/>
      <c r="Y4" s="91"/>
      <c r="Z4" s="26" t="s">
        <v>1</v>
      </c>
      <c r="AA4" s="26" t="s">
        <v>2</v>
      </c>
      <c r="AB4" s="114"/>
      <c r="AC4" s="100"/>
      <c r="AD4" s="100"/>
      <c r="AE4" s="100"/>
      <c r="AF4" s="100"/>
      <c r="AG4" s="101"/>
      <c r="AH4" s="91"/>
      <c r="AI4" s="26" t="s">
        <v>1</v>
      </c>
      <c r="AJ4" s="26" t="s">
        <v>2</v>
      </c>
      <c r="AK4" s="114"/>
      <c r="AL4" s="101"/>
      <c r="AM4" s="91"/>
      <c r="AN4" s="91"/>
      <c r="AO4" s="91"/>
    </row>
    <row r="5" spans="1:41" ht="15.75" customHeight="1" x14ac:dyDescent="0.2">
      <c r="A5" s="27" t="s">
        <v>3</v>
      </c>
      <c r="B5" s="28">
        <v>23820</v>
      </c>
      <c r="C5" s="29">
        <v>100</v>
      </c>
      <c r="D5" s="132" t="s">
        <v>24</v>
      </c>
      <c r="E5" s="133" t="s">
        <v>25</v>
      </c>
      <c r="F5" s="134" t="s">
        <v>26</v>
      </c>
      <c r="G5" s="135" t="s">
        <v>27</v>
      </c>
      <c r="H5" s="30">
        <v>94.21</v>
      </c>
      <c r="I5" s="30">
        <v>99.72</v>
      </c>
      <c r="J5" s="122"/>
      <c r="K5" s="89"/>
      <c r="L5" s="89"/>
      <c r="M5" s="89"/>
      <c r="N5" s="89"/>
      <c r="O5" s="90"/>
      <c r="P5" s="30">
        <v>94.21</v>
      </c>
      <c r="Q5" s="31">
        <v>94.14</v>
      </c>
      <c r="R5" s="31">
        <v>99.7</v>
      </c>
      <c r="S5" s="122"/>
      <c r="T5" s="89"/>
      <c r="U5" s="89"/>
      <c r="V5" s="89"/>
      <c r="W5" s="89"/>
      <c r="X5" s="90"/>
      <c r="Y5" s="31">
        <v>94.14</v>
      </c>
      <c r="Z5" s="32">
        <v>93.35</v>
      </c>
      <c r="AA5" s="32">
        <v>99.69</v>
      </c>
      <c r="AB5" s="122"/>
      <c r="AC5" s="89"/>
      <c r="AD5" s="89"/>
      <c r="AE5" s="89"/>
      <c r="AF5" s="89"/>
      <c r="AG5" s="90"/>
      <c r="AH5" s="32">
        <v>93.35</v>
      </c>
      <c r="AI5" s="33">
        <v>93.73</v>
      </c>
      <c r="AJ5" s="33">
        <v>99.7</v>
      </c>
      <c r="AK5" s="122"/>
      <c r="AL5" s="90"/>
      <c r="AM5" s="33">
        <v>93.73</v>
      </c>
      <c r="AN5" s="34">
        <f t="shared" ref="AN5:AN6" si="0">P5-AM5</f>
        <v>0.47999999999998977</v>
      </c>
      <c r="AO5" s="34">
        <f t="shared" ref="AO5:AO6" si="1">Y5-AM5</f>
        <v>0.40999999999999659</v>
      </c>
    </row>
    <row r="6" spans="1:41" ht="15.75" customHeight="1" x14ac:dyDescent="0.2">
      <c r="A6" s="35" t="s">
        <v>4</v>
      </c>
      <c r="B6" s="36">
        <v>21750</v>
      </c>
      <c r="C6" s="37">
        <v>100</v>
      </c>
      <c r="D6" s="136"/>
      <c r="E6" s="137" t="s">
        <v>28</v>
      </c>
      <c r="F6" s="136"/>
      <c r="G6" s="138" t="s">
        <v>27</v>
      </c>
      <c r="H6" s="1">
        <v>96.75</v>
      </c>
      <c r="I6" s="1">
        <v>99.97</v>
      </c>
      <c r="J6" s="123"/>
      <c r="K6" s="100"/>
      <c r="L6" s="100"/>
      <c r="M6" s="100"/>
      <c r="N6" s="100"/>
      <c r="O6" s="101"/>
      <c r="P6" s="1">
        <v>96.75</v>
      </c>
      <c r="Q6" s="2">
        <v>96.71</v>
      </c>
      <c r="R6" s="2">
        <v>99.97</v>
      </c>
      <c r="S6" s="123"/>
      <c r="T6" s="100"/>
      <c r="U6" s="100"/>
      <c r="V6" s="100"/>
      <c r="W6" s="100"/>
      <c r="X6" s="101"/>
      <c r="Y6" s="2">
        <v>96.71</v>
      </c>
      <c r="Z6" s="3">
        <v>96.67</v>
      </c>
      <c r="AA6" s="3">
        <v>99.97</v>
      </c>
      <c r="AB6" s="123"/>
      <c r="AC6" s="100"/>
      <c r="AD6" s="100"/>
      <c r="AE6" s="100"/>
      <c r="AF6" s="100"/>
      <c r="AG6" s="101"/>
      <c r="AH6" s="3">
        <v>96.67</v>
      </c>
      <c r="AI6" s="4">
        <v>97.07</v>
      </c>
      <c r="AJ6" s="4">
        <v>99.98</v>
      </c>
      <c r="AK6" s="131"/>
      <c r="AL6" s="90"/>
      <c r="AM6" s="4">
        <v>97.07</v>
      </c>
      <c r="AN6" s="34">
        <f t="shared" si="0"/>
        <v>-0.31999999999999318</v>
      </c>
      <c r="AO6" s="34">
        <f t="shared" si="1"/>
        <v>-0.35999999999999943</v>
      </c>
    </row>
    <row r="7" spans="1:41" ht="15.75" customHeight="1" x14ac:dyDescent="0.2">
      <c r="A7" s="119"/>
      <c r="B7" s="120"/>
      <c r="C7" s="121"/>
      <c r="D7" s="126"/>
      <c r="E7" s="127"/>
      <c r="F7" s="129"/>
      <c r="G7" s="128"/>
      <c r="H7" s="110" t="s">
        <v>29</v>
      </c>
      <c r="I7" s="92"/>
      <c r="J7" s="124" t="s">
        <v>30</v>
      </c>
      <c r="K7" s="92"/>
      <c r="L7" s="111"/>
      <c r="M7" s="112"/>
      <c r="N7" s="112"/>
      <c r="O7" s="113"/>
      <c r="P7" s="125"/>
      <c r="Q7" s="110" t="s">
        <v>29</v>
      </c>
      <c r="R7" s="92"/>
      <c r="S7" s="124" t="s">
        <v>30</v>
      </c>
      <c r="T7" s="92"/>
      <c r="U7" s="111"/>
      <c r="V7" s="112"/>
      <c r="W7" s="112"/>
      <c r="X7" s="113"/>
      <c r="Y7" s="125"/>
      <c r="Z7" s="110" t="s">
        <v>29</v>
      </c>
      <c r="AA7" s="92"/>
      <c r="AB7" s="124" t="s">
        <v>30</v>
      </c>
      <c r="AC7" s="92"/>
      <c r="AD7" s="111"/>
      <c r="AE7" s="112"/>
      <c r="AF7" s="112"/>
      <c r="AG7" s="113"/>
      <c r="AH7" s="125"/>
      <c r="AI7" s="110" t="s">
        <v>29</v>
      </c>
      <c r="AJ7" s="92"/>
      <c r="AK7" s="124" t="s">
        <v>30</v>
      </c>
      <c r="AL7" s="92"/>
      <c r="AM7" s="130"/>
      <c r="AN7" s="130"/>
      <c r="AO7" s="130"/>
    </row>
    <row r="8" spans="1:41" ht="15.75" customHeight="1" x14ac:dyDescent="0.2">
      <c r="A8" s="91"/>
      <c r="B8" s="91"/>
      <c r="C8" s="91"/>
      <c r="D8" s="91"/>
      <c r="E8" s="91"/>
      <c r="F8" s="91"/>
      <c r="G8" s="91"/>
      <c r="H8" s="26" t="s">
        <v>1</v>
      </c>
      <c r="I8" s="26" t="s">
        <v>2</v>
      </c>
      <c r="J8" s="26" t="s">
        <v>1</v>
      </c>
      <c r="K8" s="26" t="s">
        <v>2</v>
      </c>
      <c r="L8" s="179"/>
      <c r="M8" s="180"/>
      <c r="N8" s="180"/>
      <c r="O8" s="181"/>
      <c r="P8" s="91"/>
      <c r="Q8" s="26" t="s">
        <v>1</v>
      </c>
      <c r="R8" s="26" t="s">
        <v>2</v>
      </c>
      <c r="S8" s="26" t="s">
        <v>1</v>
      </c>
      <c r="T8" s="26" t="s">
        <v>2</v>
      </c>
      <c r="U8" s="114"/>
      <c r="V8" s="100"/>
      <c r="W8" s="100"/>
      <c r="X8" s="101"/>
      <c r="Y8" s="91"/>
      <c r="Z8" s="26" t="s">
        <v>1</v>
      </c>
      <c r="AA8" s="26" t="s">
        <v>2</v>
      </c>
      <c r="AB8" s="26" t="s">
        <v>1</v>
      </c>
      <c r="AC8" s="26" t="s">
        <v>2</v>
      </c>
      <c r="AD8" s="114"/>
      <c r="AE8" s="100"/>
      <c r="AF8" s="100"/>
      <c r="AG8" s="101"/>
      <c r="AH8" s="108"/>
      <c r="AI8" s="26" t="s">
        <v>1</v>
      </c>
      <c r="AJ8" s="26" t="s">
        <v>2</v>
      </c>
      <c r="AK8" s="26" t="s">
        <v>1</v>
      </c>
      <c r="AL8" s="26" t="s">
        <v>2</v>
      </c>
      <c r="AM8" s="91"/>
      <c r="AN8" s="91"/>
      <c r="AO8" s="91"/>
    </row>
    <row r="9" spans="1:41" ht="15.75" customHeight="1" x14ac:dyDescent="0.2">
      <c r="A9" s="27" t="s">
        <v>31</v>
      </c>
      <c r="B9" s="28">
        <v>61090496</v>
      </c>
      <c r="C9" s="29">
        <v>100</v>
      </c>
      <c r="D9" s="139" t="s">
        <v>24</v>
      </c>
      <c r="E9" s="140" t="s">
        <v>28</v>
      </c>
      <c r="F9" s="141" t="s">
        <v>26</v>
      </c>
      <c r="G9" s="142" t="s">
        <v>32</v>
      </c>
      <c r="H9" s="30">
        <v>85.67</v>
      </c>
      <c r="I9" s="30">
        <v>99.46</v>
      </c>
      <c r="J9" s="30">
        <v>56.56</v>
      </c>
      <c r="K9" s="184">
        <v>79.09</v>
      </c>
      <c r="L9" s="175"/>
      <c r="M9" s="176"/>
      <c r="N9" s="176"/>
      <c r="O9" s="173"/>
      <c r="P9" s="190">
        <f t="shared" ref="P9:P13" si="2">AVERAGE(H9,J9)</f>
        <v>71.115000000000009</v>
      </c>
      <c r="Q9" s="31">
        <v>91.05</v>
      </c>
      <c r="R9" s="31">
        <v>99.79</v>
      </c>
      <c r="S9" s="31">
        <v>54.49</v>
      </c>
      <c r="T9" s="31">
        <v>77.45</v>
      </c>
      <c r="U9" s="175"/>
      <c r="V9" s="176"/>
      <c r="W9" s="176"/>
      <c r="X9" s="173"/>
      <c r="Y9" s="31">
        <f t="shared" ref="Y9:Y13" si="3">AVERAGE(Q9,S9)</f>
        <v>72.77</v>
      </c>
      <c r="Z9" s="38">
        <v>89.85</v>
      </c>
      <c r="AA9" s="38">
        <v>99.74</v>
      </c>
      <c r="AB9" s="32">
        <v>52.45</v>
      </c>
      <c r="AC9" s="32">
        <v>76.03</v>
      </c>
      <c r="AD9" s="175"/>
      <c r="AE9" s="176"/>
      <c r="AF9" s="176"/>
      <c r="AG9" s="173"/>
      <c r="AH9" s="198">
        <f t="shared" ref="AH9:AH13" si="4">AVERAGE(Z9,AB9)</f>
        <v>71.150000000000006</v>
      </c>
      <c r="AI9" s="194">
        <v>91.32</v>
      </c>
      <c r="AJ9" s="39">
        <v>99.79</v>
      </c>
      <c r="AK9" s="33">
        <v>49.57</v>
      </c>
      <c r="AL9" s="33">
        <v>74.58</v>
      </c>
      <c r="AM9" s="39">
        <f t="shared" ref="AM9:AM13" si="5">AVERAGE(AI9,AK9)</f>
        <v>70.444999999999993</v>
      </c>
      <c r="AN9" s="34">
        <f>P9-AH9</f>
        <v>-3.4999999999996589E-2</v>
      </c>
      <c r="AO9" s="34">
        <f>Y9-AH9</f>
        <v>1.6199999999999903</v>
      </c>
    </row>
    <row r="10" spans="1:41" ht="15.75" customHeight="1" x14ac:dyDescent="0.2">
      <c r="A10" s="40" t="s">
        <v>33</v>
      </c>
      <c r="B10" s="36">
        <v>28680000</v>
      </c>
      <c r="C10" s="37">
        <v>99.23</v>
      </c>
      <c r="D10" s="166"/>
      <c r="E10" s="168"/>
      <c r="F10" s="170"/>
      <c r="G10" s="144" t="s">
        <v>34</v>
      </c>
      <c r="H10" s="7">
        <v>96.81</v>
      </c>
      <c r="I10" s="7">
        <v>99.95</v>
      </c>
      <c r="J10" s="7">
        <v>77.11</v>
      </c>
      <c r="K10" s="185">
        <v>93.56</v>
      </c>
      <c r="L10" s="177"/>
      <c r="M10" s="176"/>
      <c r="N10" s="176"/>
      <c r="O10" s="173"/>
      <c r="P10" s="191">
        <f t="shared" si="2"/>
        <v>86.960000000000008</v>
      </c>
      <c r="Q10" s="8">
        <v>97.15</v>
      </c>
      <c r="R10" s="8">
        <v>99.93</v>
      </c>
      <c r="S10" s="8">
        <v>72.510000000000005</v>
      </c>
      <c r="T10" s="8">
        <v>91.18</v>
      </c>
      <c r="U10" s="177"/>
      <c r="V10" s="176"/>
      <c r="W10" s="176"/>
      <c r="X10" s="173"/>
      <c r="Y10" s="2">
        <f t="shared" si="3"/>
        <v>84.830000000000013</v>
      </c>
      <c r="Z10" s="9">
        <v>96.56</v>
      </c>
      <c r="AA10" s="9">
        <v>99.93</v>
      </c>
      <c r="AB10" s="9">
        <v>69.81</v>
      </c>
      <c r="AC10" s="9">
        <v>89.4</v>
      </c>
      <c r="AD10" s="177"/>
      <c r="AE10" s="176"/>
      <c r="AF10" s="176"/>
      <c r="AG10" s="173"/>
      <c r="AH10" s="199">
        <f t="shared" si="4"/>
        <v>83.185000000000002</v>
      </c>
      <c r="AI10" s="195">
        <v>96.52</v>
      </c>
      <c r="AJ10" s="10">
        <v>99.95</v>
      </c>
      <c r="AK10" s="10">
        <v>73.78</v>
      </c>
      <c r="AL10" s="10">
        <v>91.7</v>
      </c>
      <c r="AM10" s="6">
        <f t="shared" si="5"/>
        <v>85.15</v>
      </c>
      <c r="AN10" s="34">
        <f t="shared" ref="AN10:AN13" si="6">P10-AM10</f>
        <v>1.8100000000000023</v>
      </c>
      <c r="AO10" s="34">
        <f t="shared" ref="AO10:AO13" si="7">Y10-AM10</f>
        <v>-0.31999999999999318</v>
      </c>
    </row>
    <row r="11" spans="1:41" ht="15.75" customHeight="1" x14ac:dyDescent="0.2">
      <c r="A11" s="41" t="s">
        <v>35</v>
      </c>
      <c r="B11" s="28">
        <v>6623904</v>
      </c>
      <c r="C11" s="29">
        <v>99.78</v>
      </c>
      <c r="D11" s="166"/>
      <c r="E11" s="168"/>
      <c r="F11" s="170"/>
      <c r="G11" s="142" t="s">
        <v>36</v>
      </c>
      <c r="H11" s="42">
        <v>94.31</v>
      </c>
      <c r="I11" s="42">
        <v>99.91</v>
      </c>
      <c r="J11" s="42">
        <v>69.78</v>
      </c>
      <c r="K11" s="186">
        <v>89.53</v>
      </c>
      <c r="L11" s="175"/>
      <c r="M11" s="176"/>
      <c r="N11" s="176"/>
      <c r="O11" s="173"/>
      <c r="P11" s="190">
        <f t="shared" si="2"/>
        <v>82.045000000000002</v>
      </c>
      <c r="Q11" s="43">
        <v>94.46</v>
      </c>
      <c r="R11" s="43">
        <v>99.83</v>
      </c>
      <c r="S11" s="43">
        <v>66.09</v>
      </c>
      <c r="T11" s="43">
        <v>87.27</v>
      </c>
      <c r="U11" s="175"/>
      <c r="V11" s="176"/>
      <c r="W11" s="176"/>
      <c r="X11" s="173"/>
      <c r="Y11" s="31">
        <f t="shared" si="3"/>
        <v>80.275000000000006</v>
      </c>
      <c r="Z11" s="44">
        <v>86.38</v>
      </c>
      <c r="AA11" s="44">
        <v>99.35</v>
      </c>
      <c r="AB11" s="44">
        <v>59.08</v>
      </c>
      <c r="AC11" s="44">
        <v>82.35</v>
      </c>
      <c r="AD11" s="175"/>
      <c r="AE11" s="176"/>
      <c r="AF11" s="176"/>
      <c r="AG11" s="173"/>
      <c r="AH11" s="198">
        <f t="shared" si="4"/>
        <v>72.72999999999999</v>
      </c>
      <c r="AI11" s="196">
        <v>93.4</v>
      </c>
      <c r="AJ11" s="45">
        <v>99.82</v>
      </c>
      <c r="AK11" s="45">
        <v>66.28</v>
      </c>
      <c r="AL11" s="45">
        <v>87.29</v>
      </c>
      <c r="AM11" s="39">
        <f t="shared" si="5"/>
        <v>79.84</v>
      </c>
      <c r="AN11" s="34">
        <f t="shared" si="6"/>
        <v>2.2049999999999983</v>
      </c>
      <c r="AO11" s="34">
        <f t="shared" si="7"/>
        <v>0.43500000000000227</v>
      </c>
    </row>
    <row r="12" spans="1:41" ht="15.75" customHeight="1" x14ac:dyDescent="0.2">
      <c r="A12" s="40" t="s">
        <v>37</v>
      </c>
      <c r="B12" s="36">
        <v>23833568</v>
      </c>
      <c r="C12" s="37">
        <v>99.86</v>
      </c>
      <c r="D12" s="166"/>
      <c r="E12" s="168"/>
      <c r="F12" s="170"/>
      <c r="G12" s="144" t="s">
        <v>38</v>
      </c>
      <c r="H12" s="7">
        <v>96.42</v>
      </c>
      <c r="I12" s="7">
        <v>99.95</v>
      </c>
      <c r="J12" s="7">
        <v>77.31</v>
      </c>
      <c r="K12" s="185">
        <v>93.45</v>
      </c>
      <c r="L12" s="177"/>
      <c r="M12" s="176"/>
      <c r="N12" s="176"/>
      <c r="O12" s="173"/>
      <c r="P12" s="191">
        <f t="shared" si="2"/>
        <v>86.865000000000009</v>
      </c>
      <c r="Q12" s="8">
        <v>96.61</v>
      </c>
      <c r="R12" s="8">
        <v>99.94</v>
      </c>
      <c r="S12" s="8">
        <v>73.89</v>
      </c>
      <c r="T12" s="8">
        <v>91.87</v>
      </c>
      <c r="U12" s="177"/>
      <c r="V12" s="176"/>
      <c r="W12" s="176"/>
      <c r="X12" s="173"/>
      <c r="Y12" s="2">
        <f t="shared" si="3"/>
        <v>85.25</v>
      </c>
      <c r="Z12" s="9">
        <v>94.32</v>
      </c>
      <c r="AA12" s="9">
        <v>99.84</v>
      </c>
      <c r="AB12" s="9">
        <v>68.98</v>
      </c>
      <c r="AC12" s="9">
        <v>89.02</v>
      </c>
      <c r="AD12" s="177"/>
      <c r="AE12" s="176"/>
      <c r="AF12" s="176"/>
      <c r="AG12" s="173"/>
      <c r="AH12" s="199">
        <f t="shared" si="4"/>
        <v>81.650000000000006</v>
      </c>
      <c r="AI12" s="195">
        <v>95.72</v>
      </c>
      <c r="AJ12" s="10">
        <v>99.92</v>
      </c>
      <c r="AK12" s="10">
        <v>74.58</v>
      </c>
      <c r="AL12" s="10">
        <v>92.41</v>
      </c>
      <c r="AM12" s="6">
        <f t="shared" si="5"/>
        <v>85.15</v>
      </c>
      <c r="AN12" s="34">
        <f t="shared" si="6"/>
        <v>1.7150000000000034</v>
      </c>
      <c r="AO12" s="34">
        <f t="shared" si="7"/>
        <v>9.9999999999994316E-2</v>
      </c>
    </row>
    <row r="13" spans="1:41" ht="15.75" customHeight="1" x14ac:dyDescent="0.2">
      <c r="A13" s="41" t="s">
        <v>39</v>
      </c>
      <c r="B13" s="158">
        <v>4382312</v>
      </c>
      <c r="C13" s="29">
        <v>99.13</v>
      </c>
      <c r="D13" s="166"/>
      <c r="E13" s="168"/>
      <c r="F13" s="170"/>
      <c r="G13" s="159" t="s">
        <v>40</v>
      </c>
      <c r="H13" s="163">
        <v>89.72</v>
      </c>
      <c r="I13" s="163">
        <v>99.74</v>
      </c>
      <c r="J13" s="163">
        <v>73.47</v>
      </c>
      <c r="K13" s="187">
        <v>91.52</v>
      </c>
      <c r="L13" s="178"/>
      <c r="M13" s="178"/>
      <c r="N13" s="178"/>
      <c r="O13" s="178"/>
      <c r="P13" s="192">
        <f t="shared" si="2"/>
        <v>81.594999999999999</v>
      </c>
      <c r="Q13" s="165">
        <v>89.93</v>
      </c>
      <c r="R13" s="165">
        <v>99.64</v>
      </c>
      <c r="S13" s="165">
        <v>66.37</v>
      </c>
      <c r="T13" s="165">
        <v>87.12</v>
      </c>
      <c r="U13" s="178"/>
      <c r="V13" s="178"/>
      <c r="W13" s="178"/>
      <c r="X13" s="178"/>
      <c r="Y13" s="164">
        <f t="shared" si="3"/>
        <v>78.150000000000006</v>
      </c>
      <c r="Z13" s="44">
        <v>37.950000000000003</v>
      </c>
      <c r="AA13" s="44">
        <v>86.75</v>
      </c>
      <c r="AB13" s="44">
        <v>37.14</v>
      </c>
      <c r="AC13" s="44">
        <v>61.87</v>
      </c>
      <c r="AD13" s="178"/>
      <c r="AE13" s="178"/>
      <c r="AF13" s="178"/>
      <c r="AG13" s="178"/>
      <c r="AH13" s="198">
        <f t="shared" si="4"/>
        <v>37.545000000000002</v>
      </c>
      <c r="AI13" s="196">
        <v>86.81</v>
      </c>
      <c r="AJ13" s="45">
        <v>99.56</v>
      </c>
      <c r="AK13" s="45">
        <v>60.37</v>
      </c>
      <c r="AL13" s="45">
        <v>83.73</v>
      </c>
      <c r="AM13" s="39">
        <f t="shared" si="5"/>
        <v>73.59</v>
      </c>
      <c r="AN13" s="34">
        <f t="shared" si="6"/>
        <v>8.0049999999999955</v>
      </c>
      <c r="AO13" s="34">
        <f t="shared" si="7"/>
        <v>4.5600000000000023</v>
      </c>
    </row>
    <row r="14" spans="1:41" ht="15.75" customHeight="1" x14ac:dyDescent="0.2">
      <c r="A14" s="35" t="s">
        <v>41</v>
      </c>
      <c r="B14" s="156">
        <v>3503872</v>
      </c>
      <c r="C14" s="37">
        <v>99.03</v>
      </c>
      <c r="D14" s="166"/>
      <c r="E14" s="168"/>
      <c r="F14" s="170"/>
      <c r="G14" s="157" t="s">
        <v>42</v>
      </c>
      <c r="H14" s="162">
        <v>93.96</v>
      </c>
      <c r="I14" s="162">
        <v>99.89</v>
      </c>
      <c r="J14" s="162">
        <v>71.87</v>
      </c>
      <c r="K14" s="188">
        <v>90.3</v>
      </c>
      <c r="L14" s="177"/>
      <c r="M14" s="176"/>
      <c r="N14" s="176"/>
      <c r="O14" s="173"/>
      <c r="P14" s="193">
        <f>AVERAGE(H14,J14)</f>
        <v>82.914999999999992</v>
      </c>
      <c r="Q14" s="161">
        <v>93.76</v>
      </c>
      <c r="R14" s="161">
        <v>99.85</v>
      </c>
      <c r="S14" s="160">
        <v>65.040000000000006</v>
      </c>
      <c r="T14" s="160">
        <v>86.3</v>
      </c>
      <c r="U14" s="177"/>
      <c r="V14" s="176"/>
      <c r="W14" s="176"/>
      <c r="X14" s="173"/>
      <c r="Y14" s="160">
        <f>AVERAGE(Q14,S14)</f>
        <v>79.400000000000006</v>
      </c>
      <c r="Z14" s="5">
        <v>68.680000000000007</v>
      </c>
      <c r="AA14" s="5">
        <v>97.34</v>
      </c>
      <c r="AB14" s="5">
        <v>37.25</v>
      </c>
      <c r="AC14" s="5">
        <v>62.04</v>
      </c>
      <c r="AD14" s="177"/>
      <c r="AE14" s="176"/>
      <c r="AF14" s="176"/>
      <c r="AG14" s="173"/>
      <c r="AH14" s="199">
        <f>AVERAGE(Z14,AB14)</f>
        <v>52.965000000000003</v>
      </c>
      <c r="AI14" s="197">
        <v>88.71</v>
      </c>
      <c r="AJ14" s="6">
        <v>99.54</v>
      </c>
      <c r="AK14" s="6">
        <v>63.44</v>
      </c>
      <c r="AL14" s="6">
        <v>85.78</v>
      </c>
      <c r="AM14" s="6">
        <f>AVERAGE(AI14,AK14)</f>
        <v>76.074999999999989</v>
      </c>
      <c r="AN14" s="34">
        <f>P14-AM14</f>
        <v>6.8400000000000034</v>
      </c>
      <c r="AO14" s="34">
        <f>Y14-AM14</f>
        <v>3.3250000000000171</v>
      </c>
    </row>
    <row r="15" spans="1:41" ht="15.75" customHeight="1" x14ac:dyDescent="0.2">
      <c r="A15" s="41" t="s">
        <v>43</v>
      </c>
      <c r="B15" s="28">
        <v>11688512</v>
      </c>
      <c r="C15" s="29">
        <v>99.92</v>
      </c>
      <c r="D15" s="166"/>
      <c r="E15" s="168"/>
      <c r="F15" s="170"/>
      <c r="G15" s="142" t="s">
        <v>44</v>
      </c>
      <c r="H15" s="42">
        <v>94.93</v>
      </c>
      <c r="I15" s="42">
        <v>99.9</v>
      </c>
      <c r="J15" s="42">
        <v>69.760000000000005</v>
      </c>
      <c r="K15" s="186">
        <v>89.08</v>
      </c>
      <c r="L15" s="178"/>
      <c r="M15" s="178"/>
      <c r="N15" s="178"/>
      <c r="O15" s="178"/>
      <c r="P15" s="190">
        <f t="shared" ref="P15:P16" si="8">AVERAGE(H15,J15)</f>
        <v>82.344999999999999</v>
      </c>
      <c r="Q15" s="43">
        <v>94.31</v>
      </c>
      <c r="R15" s="43">
        <v>99.84</v>
      </c>
      <c r="S15" s="43">
        <v>66.78</v>
      </c>
      <c r="T15" s="43">
        <v>87.23</v>
      </c>
      <c r="U15" s="178"/>
      <c r="V15" s="178"/>
      <c r="W15" s="178"/>
      <c r="X15" s="178"/>
      <c r="Y15" s="31">
        <f t="shared" ref="Y15:Y16" si="9">AVERAGE(Q15,S15)</f>
        <v>80.545000000000002</v>
      </c>
      <c r="Z15" s="44">
        <v>93.25</v>
      </c>
      <c r="AA15" s="44">
        <v>99.82</v>
      </c>
      <c r="AB15" s="44">
        <v>61.75</v>
      </c>
      <c r="AC15" s="44">
        <v>84.15</v>
      </c>
      <c r="AD15" s="178"/>
      <c r="AE15" s="178"/>
      <c r="AF15" s="178"/>
      <c r="AG15" s="178"/>
      <c r="AH15" s="198">
        <f t="shared" ref="AH15:AH16" si="10">AVERAGE(Z15,AB15)</f>
        <v>77.5</v>
      </c>
      <c r="AI15" s="196">
        <v>94.64</v>
      </c>
      <c r="AJ15" s="45">
        <v>99.85</v>
      </c>
      <c r="AK15" s="45">
        <v>64.099999999999994</v>
      </c>
      <c r="AL15" s="45">
        <v>86.21</v>
      </c>
      <c r="AM15" s="39">
        <f t="shared" ref="AM15:AM16" si="11">AVERAGE(AI15,AK15)</f>
        <v>79.37</v>
      </c>
      <c r="AN15" s="34">
        <f t="shared" ref="AN15:AN16" si="12">P15-AM15</f>
        <v>2.9749999999999943</v>
      </c>
      <c r="AO15" s="34">
        <f t="shared" ref="AO15:AO16" si="13">Y15-AM15</f>
        <v>1.1749999999999972</v>
      </c>
    </row>
    <row r="16" spans="1:41" ht="15.75" customHeight="1" x14ac:dyDescent="0.2">
      <c r="A16" s="41" t="s">
        <v>45</v>
      </c>
      <c r="B16" s="158">
        <v>1231552</v>
      </c>
      <c r="C16" s="29">
        <v>100</v>
      </c>
      <c r="D16" s="166"/>
      <c r="E16" s="168"/>
      <c r="F16" s="170"/>
      <c r="G16" s="159" t="s">
        <v>46</v>
      </c>
      <c r="H16" s="162">
        <v>88.86</v>
      </c>
      <c r="I16" s="162">
        <v>99.72</v>
      </c>
      <c r="J16" s="162">
        <v>58.18</v>
      </c>
      <c r="K16" s="188">
        <v>80.61</v>
      </c>
      <c r="L16" s="172"/>
      <c r="M16" s="172"/>
      <c r="N16" s="172"/>
      <c r="O16" s="172"/>
      <c r="P16" s="193">
        <f t="shared" si="8"/>
        <v>73.52</v>
      </c>
      <c r="Q16" s="161">
        <v>86.84</v>
      </c>
      <c r="R16" s="161">
        <v>99.62</v>
      </c>
      <c r="S16" s="160">
        <v>44.96</v>
      </c>
      <c r="T16" s="160">
        <v>70.56</v>
      </c>
      <c r="U16" s="172"/>
      <c r="V16" s="172"/>
      <c r="W16" s="172"/>
      <c r="X16" s="172"/>
      <c r="Y16" s="160">
        <f t="shared" si="9"/>
        <v>65.900000000000006</v>
      </c>
      <c r="Z16" s="5">
        <v>85.47</v>
      </c>
      <c r="AA16" s="5">
        <v>99.41</v>
      </c>
      <c r="AB16" s="5">
        <v>36.72</v>
      </c>
      <c r="AC16" s="5">
        <v>62.49</v>
      </c>
      <c r="AD16" s="172"/>
      <c r="AE16" s="172"/>
      <c r="AF16" s="172"/>
      <c r="AG16" s="172"/>
      <c r="AH16" s="199">
        <f t="shared" si="10"/>
        <v>61.094999999999999</v>
      </c>
      <c r="AI16" s="195">
        <v>86.92</v>
      </c>
      <c r="AJ16" s="10">
        <v>99.52</v>
      </c>
      <c r="AK16" s="10">
        <v>40.57</v>
      </c>
      <c r="AL16" s="10">
        <v>66.11</v>
      </c>
      <c r="AM16" s="6">
        <f t="shared" si="11"/>
        <v>63.745000000000005</v>
      </c>
      <c r="AN16" s="34">
        <f t="shared" si="12"/>
        <v>9.7749999999999915</v>
      </c>
      <c r="AO16" s="34">
        <f t="shared" si="13"/>
        <v>2.1550000000000011</v>
      </c>
    </row>
    <row r="17" spans="1:41" ht="15.75" customHeight="1" x14ac:dyDescent="0.2">
      <c r="A17" s="40" t="s">
        <v>47</v>
      </c>
      <c r="B17" s="36">
        <v>138344128</v>
      </c>
      <c r="C17" s="37">
        <v>100</v>
      </c>
      <c r="D17" s="166"/>
      <c r="E17" s="168"/>
      <c r="F17" s="170"/>
      <c r="G17" s="146" t="s">
        <v>48</v>
      </c>
      <c r="H17" s="42">
        <v>92.69</v>
      </c>
      <c r="I17" s="42">
        <v>99.84</v>
      </c>
      <c r="J17" s="42">
        <v>71.58</v>
      </c>
      <c r="K17" s="186">
        <v>90.39</v>
      </c>
      <c r="L17" s="175"/>
      <c r="M17" s="176"/>
      <c r="N17" s="176"/>
      <c r="O17" s="173"/>
      <c r="P17" s="192">
        <f t="shared" ref="P17:P19" si="14">AVERAGE(H17,J17)</f>
        <v>82.134999999999991</v>
      </c>
      <c r="Q17" s="43">
        <v>92.65</v>
      </c>
      <c r="R17" s="43">
        <v>99.82</v>
      </c>
      <c r="S17" s="43">
        <v>70.78</v>
      </c>
      <c r="T17" s="43">
        <v>90</v>
      </c>
      <c r="U17" s="175"/>
      <c r="V17" s="176"/>
      <c r="W17" s="176"/>
      <c r="X17" s="173"/>
      <c r="Y17" s="31">
        <f t="shared" ref="Y17:Y19" si="15">AVERAGE(Q17,S17)</f>
        <v>81.715000000000003</v>
      </c>
      <c r="Z17" s="44">
        <v>92.07</v>
      </c>
      <c r="AA17" s="44">
        <v>99.8</v>
      </c>
      <c r="AB17" s="44">
        <v>68.58</v>
      </c>
      <c r="AC17" s="44">
        <v>88.52</v>
      </c>
      <c r="AD17" s="175"/>
      <c r="AE17" s="176"/>
      <c r="AF17" s="176"/>
      <c r="AG17" s="173"/>
      <c r="AH17" s="198">
        <f t="shared" ref="AH17:AH19" si="16">AVERAGE(Z17,AB17)</f>
        <v>80.324999999999989</v>
      </c>
      <c r="AI17" s="196">
        <v>93</v>
      </c>
      <c r="AJ17" s="196">
        <v>99.86</v>
      </c>
      <c r="AK17" s="196">
        <v>66.180000000000007</v>
      </c>
      <c r="AL17" s="196">
        <v>87.39</v>
      </c>
      <c r="AM17" s="196">
        <f t="shared" ref="AM17:AM18" si="17">AVERAGE(AI17,AK17)</f>
        <v>79.59</v>
      </c>
      <c r="AN17" s="34">
        <f>P17-AH17</f>
        <v>1.8100000000000023</v>
      </c>
      <c r="AO17" s="34">
        <f>Y17-AH17</f>
        <v>1.3900000000000148</v>
      </c>
    </row>
    <row r="18" spans="1:41" ht="15.75" customHeight="1" x14ac:dyDescent="0.2">
      <c r="A18" s="41" t="s">
        <v>49</v>
      </c>
      <c r="B18" s="28">
        <v>138352576</v>
      </c>
      <c r="C18" s="29">
        <v>99.99</v>
      </c>
      <c r="D18" s="166"/>
      <c r="E18" s="168"/>
      <c r="F18" s="171"/>
      <c r="G18" s="145"/>
      <c r="H18" s="162">
        <v>93.93</v>
      </c>
      <c r="I18" s="162">
        <v>99.84</v>
      </c>
      <c r="J18" s="162">
        <v>73.38</v>
      </c>
      <c r="K18" s="188">
        <v>91.5</v>
      </c>
      <c r="L18" s="177"/>
      <c r="M18" s="173"/>
      <c r="N18" s="173"/>
      <c r="O18" s="173"/>
      <c r="P18" s="191">
        <f t="shared" si="14"/>
        <v>83.655000000000001</v>
      </c>
      <c r="Q18" s="161">
        <v>90.67</v>
      </c>
      <c r="R18" s="161">
        <v>99.58</v>
      </c>
      <c r="S18" s="160">
        <v>66.83</v>
      </c>
      <c r="T18" s="160">
        <v>87.93</v>
      </c>
      <c r="U18" s="177"/>
      <c r="V18" s="173"/>
      <c r="W18" s="173"/>
      <c r="X18" s="173"/>
      <c r="Y18" s="160">
        <f t="shared" si="15"/>
        <v>78.75</v>
      </c>
      <c r="Z18" s="5">
        <v>87.16</v>
      </c>
      <c r="AA18" s="5">
        <v>99.09</v>
      </c>
      <c r="AB18" s="5">
        <v>65.06</v>
      </c>
      <c r="AC18" s="5">
        <v>86.87</v>
      </c>
      <c r="AD18" s="177"/>
      <c r="AE18" s="173"/>
      <c r="AF18" s="173"/>
      <c r="AG18" s="173"/>
      <c r="AH18" s="199">
        <f t="shared" si="16"/>
        <v>76.11</v>
      </c>
      <c r="AI18" s="195">
        <v>90.14</v>
      </c>
      <c r="AJ18" s="195">
        <v>99.38</v>
      </c>
      <c r="AK18" s="195">
        <v>68.650000000000006</v>
      </c>
      <c r="AL18" s="195">
        <v>89.22</v>
      </c>
      <c r="AM18" s="195">
        <f t="shared" si="17"/>
        <v>79.39500000000001</v>
      </c>
      <c r="AN18" s="34">
        <f>P18-AM18</f>
        <v>4.2599999999999909</v>
      </c>
      <c r="AO18" s="34">
        <f>Y18-AM18</f>
        <v>-0.64500000000001023</v>
      </c>
    </row>
    <row r="19" spans="1:41" ht="15.75" customHeight="1" x14ac:dyDescent="0.2">
      <c r="A19" s="40" t="s">
        <v>50</v>
      </c>
      <c r="B19" s="47">
        <v>86567656</v>
      </c>
      <c r="C19" s="37">
        <v>98.11</v>
      </c>
      <c r="D19" s="167"/>
      <c r="E19" s="169"/>
      <c r="F19" s="147" t="s">
        <v>51</v>
      </c>
      <c r="G19" s="144" t="s">
        <v>52</v>
      </c>
      <c r="H19" s="42" t="s">
        <v>5</v>
      </c>
      <c r="I19" s="42" t="s">
        <v>5</v>
      </c>
      <c r="J19" s="42">
        <v>81.430000000000007</v>
      </c>
      <c r="K19" s="186">
        <v>96.01</v>
      </c>
      <c r="L19" s="175"/>
      <c r="M19" s="176"/>
      <c r="N19" s="176"/>
      <c r="O19" s="173"/>
      <c r="P19" s="190">
        <f t="shared" si="14"/>
        <v>81.430000000000007</v>
      </c>
      <c r="Q19" s="43" t="s">
        <v>5</v>
      </c>
      <c r="R19" s="43" t="s">
        <v>5</v>
      </c>
      <c r="S19" s="43">
        <v>81.44</v>
      </c>
      <c r="T19" s="43">
        <v>95.99</v>
      </c>
      <c r="U19" s="175"/>
      <c r="V19" s="176"/>
      <c r="W19" s="176"/>
      <c r="X19" s="173"/>
      <c r="Y19" s="31">
        <f t="shared" si="15"/>
        <v>81.44</v>
      </c>
      <c r="Z19" s="44" t="s">
        <v>5</v>
      </c>
      <c r="AA19" s="44" t="s">
        <v>5</v>
      </c>
      <c r="AB19" s="44">
        <v>81.239999999999995</v>
      </c>
      <c r="AC19" s="44">
        <v>95.87</v>
      </c>
      <c r="AD19" s="175"/>
      <c r="AE19" s="176"/>
      <c r="AF19" s="176"/>
      <c r="AG19" s="173"/>
      <c r="AH19" s="198">
        <f t="shared" si="16"/>
        <v>81.239999999999995</v>
      </c>
      <c r="AI19" s="196" t="s">
        <v>5</v>
      </c>
      <c r="AJ19" s="196" t="s">
        <v>5</v>
      </c>
      <c r="AK19" s="196" t="s">
        <v>5</v>
      </c>
      <c r="AL19" s="196" t="s">
        <v>5</v>
      </c>
      <c r="AM19" s="196" t="s">
        <v>5</v>
      </c>
      <c r="AN19" s="34">
        <f>P19-AH19</f>
        <v>0.19000000000001194</v>
      </c>
      <c r="AO19" s="34">
        <f>Y19-AH19</f>
        <v>0.20000000000000284</v>
      </c>
    </row>
    <row r="20" spans="1:41" ht="15.75" customHeight="1" x14ac:dyDescent="0.2">
      <c r="A20" s="48"/>
      <c r="B20" s="49"/>
      <c r="C20" s="50"/>
      <c r="D20" s="148"/>
      <c r="E20" s="149"/>
      <c r="F20" s="150"/>
      <c r="G20" s="151"/>
      <c r="H20" s="46" t="s">
        <v>53</v>
      </c>
      <c r="I20" s="46" t="s">
        <v>54</v>
      </c>
      <c r="J20" s="46" t="s">
        <v>55</v>
      </c>
      <c r="K20" s="189" t="s">
        <v>56</v>
      </c>
      <c r="L20" s="183" t="s">
        <v>57</v>
      </c>
      <c r="M20" s="182" t="s">
        <v>58</v>
      </c>
      <c r="N20" s="182" t="s">
        <v>59</v>
      </c>
      <c r="O20" s="182" t="s">
        <v>60</v>
      </c>
      <c r="P20" s="46"/>
      <c r="Q20" s="46" t="s">
        <v>53</v>
      </c>
      <c r="R20" s="46" t="s">
        <v>54</v>
      </c>
      <c r="S20" s="46" t="s">
        <v>55</v>
      </c>
      <c r="T20" s="46" t="s">
        <v>56</v>
      </c>
      <c r="U20" s="46" t="s">
        <v>57</v>
      </c>
      <c r="V20" s="46" t="s">
        <v>58</v>
      </c>
      <c r="W20" s="46" t="s">
        <v>59</v>
      </c>
      <c r="X20" s="46" t="s">
        <v>60</v>
      </c>
      <c r="Y20" s="46"/>
      <c r="Z20" s="46" t="s">
        <v>53</v>
      </c>
      <c r="AA20" s="46" t="s">
        <v>54</v>
      </c>
      <c r="AB20" s="46" t="s">
        <v>55</v>
      </c>
      <c r="AC20" s="46" t="s">
        <v>56</v>
      </c>
      <c r="AD20" s="46" t="s">
        <v>57</v>
      </c>
      <c r="AE20" s="46" t="s">
        <v>58</v>
      </c>
      <c r="AF20" s="46" t="s">
        <v>59</v>
      </c>
      <c r="AG20" s="46" t="s">
        <v>60</v>
      </c>
      <c r="AH20" s="174"/>
      <c r="AI20" s="104"/>
      <c r="AJ20" s="100"/>
      <c r="AK20" s="100"/>
      <c r="AL20" s="100"/>
      <c r="AM20" s="101"/>
      <c r="AN20" s="46"/>
      <c r="AO20" s="46"/>
    </row>
    <row r="21" spans="1:41" ht="15.75" customHeight="1" x14ac:dyDescent="0.2">
      <c r="A21" s="41" t="s">
        <v>7</v>
      </c>
      <c r="B21" s="28" t="s">
        <v>61</v>
      </c>
      <c r="C21" s="29">
        <v>90.42</v>
      </c>
      <c r="D21" s="139" t="s">
        <v>24</v>
      </c>
      <c r="E21" s="140" t="s">
        <v>62</v>
      </c>
      <c r="F21" s="141" t="s">
        <v>63</v>
      </c>
      <c r="G21" s="142" t="s">
        <v>64</v>
      </c>
      <c r="H21" s="51">
        <v>63.83</v>
      </c>
      <c r="I21" s="51">
        <v>93</v>
      </c>
      <c r="J21" s="51">
        <v>42.16</v>
      </c>
      <c r="K21" s="52" t="s">
        <v>5</v>
      </c>
      <c r="L21" s="52" t="s">
        <v>5</v>
      </c>
      <c r="M21" s="51">
        <v>64.62</v>
      </c>
      <c r="N21" s="51">
        <v>39.44</v>
      </c>
      <c r="O21" s="51">
        <v>82.320000000000007</v>
      </c>
      <c r="P21" s="51">
        <f t="shared" ref="P21:P22" si="18">AVERAGE(H21:O21)</f>
        <v>64.228333333333339</v>
      </c>
      <c r="Q21" s="53">
        <v>64.31</v>
      </c>
      <c r="R21" s="53">
        <v>92.55</v>
      </c>
      <c r="S21" s="53">
        <v>42.4</v>
      </c>
      <c r="T21" s="54" t="s">
        <v>5</v>
      </c>
      <c r="U21" s="54" t="s">
        <v>5</v>
      </c>
      <c r="V21" s="53">
        <v>66.790000000000006</v>
      </c>
      <c r="W21" s="53">
        <v>39.44</v>
      </c>
      <c r="X21" s="53">
        <v>82.16</v>
      </c>
      <c r="Y21" s="53">
        <f t="shared" ref="Y21:Y22" si="19">AVERAGE(Q21:X21)</f>
        <v>64.608333333333334</v>
      </c>
      <c r="Z21" s="55">
        <v>63.11</v>
      </c>
      <c r="AA21" s="55">
        <v>92.66</v>
      </c>
      <c r="AB21" s="55">
        <v>40.69</v>
      </c>
      <c r="AC21" s="56" t="s">
        <v>5</v>
      </c>
      <c r="AD21" s="57" t="s">
        <v>5</v>
      </c>
      <c r="AE21" s="55">
        <v>65.34</v>
      </c>
      <c r="AF21" s="55">
        <v>45.07</v>
      </c>
      <c r="AG21" s="55">
        <v>81.81</v>
      </c>
      <c r="AH21" s="55">
        <f t="shared" ref="AH21:AH22" si="20">AVERAGE(Z21:AG21)</f>
        <v>64.779999999999987</v>
      </c>
      <c r="AI21" s="95"/>
      <c r="AJ21" s="89"/>
      <c r="AK21" s="89"/>
      <c r="AL21" s="89"/>
      <c r="AM21" s="90"/>
      <c r="AN21" s="34">
        <f t="shared" ref="AN21:AN22" si="21">P21-AH21</f>
        <v>-0.5516666666666481</v>
      </c>
      <c r="AO21" s="34">
        <f t="shared" ref="AO21:AO22" si="22">Y21-AH21</f>
        <v>-0.17166666666665265</v>
      </c>
    </row>
    <row r="22" spans="1:41" ht="15.75" customHeight="1" x14ac:dyDescent="0.2">
      <c r="A22" s="40" t="s">
        <v>6</v>
      </c>
      <c r="B22" s="58" t="s">
        <v>65</v>
      </c>
      <c r="C22" s="37">
        <v>64.31</v>
      </c>
      <c r="D22" s="145"/>
      <c r="E22" s="145"/>
      <c r="F22" s="145"/>
      <c r="G22" s="144" t="s">
        <v>66</v>
      </c>
      <c r="H22" s="7">
        <v>51.559999999999995</v>
      </c>
      <c r="I22" s="7">
        <v>91.06</v>
      </c>
      <c r="J22" s="7">
        <v>84.56</v>
      </c>
      <c r="K22" s="7">
        <v>85.11999999999999</v>
      </c>
      <c r="L22" s="7">
        <v>59.13</v>
      </c>
      <c r="M22" s="7">
        <v>62.45</v>
      </c>
      <c r="N22" s="7">
        <v>56.34</v>
      </c>
      <c r="O22" s="7">
        <v>86.509999999999991</v>
      </c>
      <c r="P22" s="59">
        <f t="shared" si="18"/>
        <v>72.091250000000002</v>
      </c>
      <c r="Q22" s="8">
        <v>51.92</v>
      </c>
      <c r="R22" s="8">
        <v>90.48</v>
      </c>
      <c r="S22" s="8">
        <v>85.54</v>
      </c>
      <c r="T22" s="8">
        <v>85.06</v>
      </c>
      <c r="U22" s="8">
        <v>59.45</v>
      </c>
      <c r="V22" s="8">
        <v>60.650000000000006</v>
      </c>
      <c r="W22" s="8">
        <v>56.34</v>
      </c>
      <c r="X22" s="8">
        <v>86.42</v>
      </c>
      <c r="Y22" s="60">
        <f t="shared" si="19"/>
        <v>71.982500000000002</v>
      </c>
      <c r="Z22" s="9">
        <v>51.11</v>
      </c>
      <c r="AA22" s="9">
        <v>90.600000000000009</v>
      </c>
      <c r="AB22" s="9">
        <v>84.56</v>
      </c>
      <c r="AC22" s="9">
        <v>84.93</v>
      </c>
      <c r="AD22" s="9">
        <v>58.609999999999992</v>
      </c>
      <c r="AE22" s="9">
        <v>62.09</v>
      </c>
      <c r="AF22" s="9">
        <v>56.34</v>
      </c>
      <c r="AG22" s="61">
        <v>86.240000000000009</v>
      </c>
      <c r="AH22" s="62">
        <f t="shared" si="20"/>
        <v>71.810000000000016</v>
      </c>
      <c r="AI22" s="96"/>
      <c r="AJ22" s="89"/>
      <c r="AK22" s="89"/>
      <c r="AL22" s="89"/>
      <c r="AM22" s="90"/>
      <c r="AN22" s="34">
        <f t="shared" si="21"/>
        <v>0.28124999999998579</v>
      </c>
      <c r="AO22" s="34">
        <f t="shared" si="22"/>
        <v>0.17249999999998522</v>
      </c>
    </row>
    <row r="23" spans="1:41" ht="15.75" customHeight="1" x14ac:dyDescent="0.2">
      <c r="A23" s="63"/>
      <c r="B23" s="64"/>
      <c r="C23" s="50"/>
      <c r="D23" s="148"/>
      <c r="E23" s="149"/>
      <c r="F23" s="150"/>
      <c r="G23" s="151"/>
      <c r="H23" s="46" t="s">
        <v>67</v>
      </c>
      <c r="I23" s="46" t="s">
        <v>68</v>
      </c>
      <c r="J23" s="46" t="s">
        <v>69</v>
      </c>
      <c r="K23" s="46" t="s">
        <v>70</v>
      </c>
      <c r="L23" s="46" t="s">
        <v>71</v>
      </c>
      <c r="M23" s="46" t="s">
        <v>58</v>
      </c>
      <c r="N23" s="46" t="s">
        <v>72</v>
      </c>
      <c r="O23" s="46" t="s">
        <v>73</v>
      </c>
      <c r="P23" s="46"/>
      <c r="Q23" s="46" t="s">
        <v>67</v>
      </c>
      <c r="R23" s="46" t="s">
        <v>68</v>
      </c>
      <c r="S23" s="46" t="s">
        <v>69</v>
      </c>
      <c r="T23" s="46" t="s">
        <v>70</v>
      </c>
      <c r="U23" s="46" t="s">
        <v>71</v>
      </c>
      <c r="V23" s="46" t="s">
        <v>58</v>
      </c>
      <c r="W23" s="46" t="s">
        <v>72</v>
      </c>
      <c r="X23" s="46" t="s">
        <v>73</v>
      </c>
      <c r="Y23" s="46"/>
      <c r="Z23" s="46" t="s">
        <v>67</v>
      </c>
      <c r="AA23" s="46" t="s">
        <v>68</v>
      </c>
      <c r="AB23" s="46" t="s">
        <v>69</v>
      </c>
      <c r="AC23" s="46" t="s">
        <v>70</v>
      </c>
      <c r="AD23" s="46" t="s">
        <v>71</v>
      </c>
      <c r="AE23" s="46" t="s">
        <v>58</v>
      </c>
      <c r="AF23" s="46" t="s">
        <v>72</v>
      </c>
      <c r="AG23" s="46" t="s">
        <v>73</v>
      </c>
      <c r="AH23" s="46"/>
      <c r="AI23" s="93"/>
      <c r="AJ23" s="94"/>
      <c r="AK23" s="94"/>
      <c r="AL23" s="94"/>
      <c r="AM23" s="92"/>
      <c r="AN23" s="46"/>
      <c r="AO23" s="46"/>
    </row>
    <row r="24" spans="1:41" ht="15.75" customHeight="1" x14ac:dyDescent="0.2">
      <c r="A24" s="41" t="s">
        <v>74</v>
      </c>
      <c r="B24" s="65" t="s">
        <v>75</v>
      </c>
      <c r="C24" s="29">
        <v>85.44</v>
      </c>
      <c r="D24" s="152" t="s">
        <v>76</v>
      </c>
      <c r="E24" s="140" t="s">
        <v>62</v>
      </c>
      <c r="F24" s="141" t="s">
        <v>51</v>
      </c>
      <c r="G24" s="142" t="s">
        <v>77</v>
      </c>
      <c r="H24" s="51">
        <v>30.29</v>
      </c>
      <c r="I24" s="51">
        <v>64.94</v>
      </c>
      <c r="J24" s="51">
        <v>46.5</v>
      </c>
      <c r="K24" s="51">
        <v>57.220000000000006</v>
      </c>
      <c r="L24" s="51">
        <v>72.740000000000009</v>
      </c>
      <c r="M24" s="51">
        <v>54.15</v>
      </c>
      <c r="N24" s="51">
        <v>50</v>
      </c>
      <c r="O24" s="51">
        <v>64.48</v>
      </c>
      <c r="P24" s="51">
        <f t="shared" ref="P24:P26" si="23">AVERAGE(H24:O24)</f>
        <v>55.04</v>
      </c>
      <c r="Q24" s="53">
        <v>30.89</v>
      </c>
      <c r="R24" s="53">
        <v>64.900000000000006</v>
      </c>
      <c r="S24" s="53">
        <v>46.48</v>
      </c>
      <c r="T24" s="53">
        <v>57.220000000000006</v>
      </c>
      <c r="U24" s="53">
        <v>73.290000000000006</v>
      </c>
      <c r="V24" s="53">
        <v>54.15</v>
      </c>
      <c r="W24" s="53">
        <v>50</v>
      </c>
      <c r="X24" s="53">
        <v>64.17</v>
      </c>
      <c r="Y24" s="53">
        <f t="shared" ref="Y24:Y26" si="24">AVERAGE(Q24:X24)</f>
        <v>55.137500000000003</v>
      </c>
      <c r="Z24" s="55">
        <v>30.03</v>
      </c>
      <c r="AA24" s="55">
        <v>64.31</v>
      </c>
      <c r="AB24" s="55">
        <v>46.2</v>
      </c>
      <c r="AC24" s="66">
        <v>57.14</v>
      </c>
      <c r="AD24" s="55">
        <v>72.58</v>
      </c>
      <c r="AE24" s="67">
        <v>55.600000000000009</v>
      </c>
      <c r="AF24" s="67">
        <v>50</v>
      </c>
      <c r="AG24" s="55">
        <v>63.38</v>
      </c>
      <c r="AH24" s="55">
        <f t="shared" ref="AH24:AH26" si="25">AVERAGE(Z24:AG24)</f>
        <v>54.905000000000001</v>
      </c>
      <c r="AI24" s="95"/>
      <c r="AJ24" s="89"/>
      <c r="AK24" s="89"/>
      <c r="AL24" s="89"/>
      <c r="AM24" s="90"/>
      <c r="AN24" s="34">
        <f t="shared" ref="AN24:AN26" si="26">P24-AH24</f>
        <v>0.13499999999999801</v>
      </c>
      <c r="AO24" s="34">
        <f t="shared" ref="AO24:AO26" si="27">Y24-AH24</f>
        <v>0.23250000000000171</v>
      </c>
    </row>
    <row r="25" spans="1:41" ht="15.75" customHeight="1" x14ac:dyDescent="0.2">
      <c r="A25" s="40" t="s">
        <v>78</v>
      </c>
      <c r="B25" s="58" t="s">
        <v>79</v>
      </c>
      <c r="C25" s="37">
        <v>94.67</v>
      </c>
      <c r="D25" s="143"/>
      <c r="E25" s="143"/>
      <c r="F25" s="143"/>
      <c r="G25" s="144" t="s">
        <v>80</v>
      </c>
      <c r="H25" s="59">
        <v>25</v>
      </c>
      <c r="I25" s="59">
        <v>58.29</v>
      </c>
      <c r="J25" s="59">
        <v>40.04</v>
      </c>
      <c r="K25" s="59">
        <v>46.32</v>
      </c>
      <c r="L25" s="59">
        <v>70.83</v>
      </c>
      <c r="M25" s="59">
        <v>52.339999999999996</v>
      </c>
      <c r="N25" s="59">
        <v>49.84</v>
      </c>
      <c r="O25" s="59">
        <v>58.320000000000007</v>
      </c>
      <c r="P25" s="59">
        <f t="shared" si="23"/>
        <v>50.122499999999995</v>
      </c>
      <c r="Q25" s="60">
        <v>25.080000000000002</v>
      </c>
      <c r="R25" s="60">
        <v>58.24</v>
      </c>
      <c r="S25" s="60">
        <v>39.94</v>
      </c>
      <c r="T25" s="60">
        <v>46.839999999999996</v>
      </c>
      <c r="U25" s="60">
        <v>70.67</v>
      </c>
      <c r="V25" s="60">
        <v>52.339999999999996</v>
      </c>
      <c r="W25" s="60">
        <v>49.519999999999996</v>
      </c>
      <c r="X25" s="60">
        <v>58.720000000000006</v>
      </c>
      <c r="Y25" s="60">
        <f t="shared" si="24"/>
        <v>50.168749999999996</v>
      </c>
      <c r="Z25" s="62">
        <v>24.91</v>
      </c>
      <c r="AA25" s="62">
        <v>57.53</v>
      </c>
      <c r="AB25" s="62">
        <v>39.79</v>
      </c>
      <c r="AC25" s="68">
        <v>46.51</v>
      </c>
      <c r="AD25" s="62">
        <v>70.78</v>
      </c>
      <c r="AE25" s="62">
        <v>50.18</v>
      </c>
      <c r="AF25" s="62">
        <v>49.05</v>
      </c>
      <c r="AG25" s="62">
        <v>57.85</v>
      </c>
      <c r="AH25" s="62">
        <f t="shared" si="25"/>
        <v>49.575000000000003</v>
      </c>
      <c r="AI25" s="96"/>
      <c r="AJ25" s="89"/>
      <c r="AK25" s="89"/>
      <c r="AL25" s="89"/>
      <c r="AM25" s="90"/>
      <c r="AN25" s="34">
        <f t="shared" si="26"/>
        <v>0.54749999999999233</v>
      </c>
      <c r="AO25" s="34">
        <f t="shared" si="27"/>
        <v>0.59374999999999289</v>
      </c>
    </row>
    <row r="26" spans="1:41" ht="15.75" customHeight="1" x14ac:dyDescent="0.2">
      <c r="A26" s="41" t="s">
        <v>81</v>
      </c>
      <c r="B26" s="65" t="s">
        <v>82</v>
      </c>
      <c r="C26" s="29">
        <v>97.9</v>
      </c>
      <c r="D26" s="145"/>
      <c r="E26" s="145"/>
      <c r="F26" s="145"/>
      <c r="G26" s="142" t="s">
        <v>83</v>
      </c>
      <c r="H26" s="51">
        <v>32.67</v>
      </c>
      <c r="I26" s="51">
        <v>66.539999999999992</v>
      </c>
      <c r="J26" s="51">
        <v>52.080000000000005</v>
      </c>
      <c r="K26" s="51">
        <v>50.92</v>
      </c>
      <c r="L26" s="51">
        <v>76.22</v>
      </c>
      <c r="M26" s="51">
        <v>57.4</v>
      </c>
      <c r="N26" s="51">
        <v>48.11</v>
      </c>
      <c r="O26" s="51">
        <v>66.849999999999994</v>
      </c>
      <c r="P26" s="51">
        <f t="shared" si="23"/>
        <v>56.348749999999995</v>
      </c>
      <c r="Q26" s="53">
        <v>32.5</v>
      </c>
      <c r="R26" s="53">
        <v>66.45</v>
      </c>
      <c r="S26" s="53">
        <v>52.14</v>
      </c>
      <c r="T26" s="53">
        <v>51.11</v>
      </c>
      <c r="U26" s="53">
        <v>76.22</v>
      </c>
      <c r="V26" s="53">
        <v>56.31</v>
      </c>
      <c r="W26" s="53">
        <v>48.11</v>
      </c>
      <c r="X26" s="53">
        <v>66.92</v>
      </c>
      <c r="Y26" s="53">
        <f t="shared" si="24"/>
        <v>56.22</v>
      </c>
      <c r="Z26" s="55">
        <v>33.1</v>
      </c>
      <c r="AA26" s="55">
        <v>66.03</v>
      </c>
      <c r="AB26" s="55">
        <v>51.83</v>
      </c>
      <c r="AC26" s="66">
        <v>51.73</v>
      </c>
      <c r="AD26" s="55">
        <v>75.73</v>
      </c>
      <c r="AE26" s="67">
        <v>54.510000000000005</v>
      </c>
      <c r="AF26" s="67">
        <v>49.84</v>
      </c>
      <c r="AG26" s="55">
        <v>66.69</v>
      </c>
      <c r="AH26" s="55">
        <f t="shared" si="25"/>
        <v>56.182499999999997</v>
      </c>
      <c r="AI26" s="95"/>
      <c r="AJ26" s="89"/>
      <c r="AK26" s="89"/>
      <c r="AL26" s="89"/>
      <c r="AM26" s="90"/>
      <c r="AN26" s="34">
        <f t="shared" si="26"/>
        <v>0.16624999999999801</v>
      </c>
      <c r="AO26" s="34">
        <f t="shared" si="27"/>
        <v>3.7500000000001421E-2</v>
      </c>
    </row>
    <row r="27" spans="1:41" ht="15.75" customHeight="1" x14ac:dyDescent="0.2">
      <c r="A27" s="63"/>
      <c r="B27" s="64"/>
      <c r="C27" s="50"/>
      <c r="D27" s="148"/>
      <c r="E27" s="149"/>
      <c r="F27" s="150"/>
      <c r="G27" s="151"/>
      <c r="H27" s="46" t="s">
        <v>84</v>
      </c>
      <c r="I27" s="69" t="s">
        <v>85</v>
      </c>
      <c r="J27" s="69" t="s">
        <v>86</v>
      </c>
      <c r="K27" s="46" t="s">
        <v>87</v>
      </c>
      <c r="L27" s="69" t="s">
        <v>88</v>
      </c>
      <c r="M27" s="102"/>
      <c r="N27" s="94"/>
      <c r="O27" s="92"/>
      <c r="P27" s="46"/>
      <c r="Q27" s="46" t="s">
        <v>84</v>
      </c>
      <c r="R27" s="69" t="s">
        <v>85</v>
      </c>
      <c r="S27" s="69" t="s">
        <v>86</v>
      </c>
      <c r="T27" s="46" t="s">
        <v>87</v>
      </c>
      <c r="U27" s="69" t="s">
        <v>88</v>
      </c>
      <c r="V27" s="102"/>
      <c r="W27" s="94"/>
      <c r="X27" s="92"/>
      <c r="Y27" s="46"/>
      <c r="Z27" s="46" t="s">
        <v>84</v>
      </c>
      <c r="AA27" s="25" t="s">
        <v>85</v>
      </c>
      <c r="AB27" s="69" t="s">
        <v>86</v>
      </c>
      <c r="AC27" s="46" t="s">
        <v>87</v>
      </c>
      <c r="AD27" s="69" t="s">
        <v>88</v>
      </c>
      <c r="AE27" s="93"/>
      <c r="AF27" s="94"/>
      <c r="AG27" s="94"/>
      <c r="AH27" s="46"/>
      <c r="AI27" s="93"/>
      <c r="AJ27" s="94"/>
      <c r="AK27" s="94"/>
      <c r="AL27" s="94"/>
      <c r="AM27" s="92"/>
      <c r="AN27" s="46"/>
      <c r="AO27" s="46"/>
    </row>
    <row r="28" spans="1:41" ht="15.75" customHeight="1" x14ac:dyDescent="0.2">
      <c r="A28" s="41" t="s">
        <v>89</v>
      </c>
      <c r="B28" s="65" t="s">
        <v>90</v>
      </c>
      <c r="C28" s="29">
        <v>98.08</v>
      </c>
      <c r="D28" s="152" t="s">
        <v>76</v>
      </c>
      <c r="E28" s="140" t="s">
        <v>62</v>
      </c>
      <c r="F28" s="141" t="s">
        <v>51</v>
      </c>
      <c r="G28" s="142" t="s">
        <v>91</v>
      </c>
      <c r="H28" s="51">
        <v>24.298300000000001</v>
      </c>
      <c r="I28" s="51">
        <v>39.3247</v>
      </c>
      <c r="J28" s="51">
        <v>2.9862000000000002</v>
      </c>
      <c r="K28" s="51">
        <v>5.2271000000000001</v>
      </c>
      <c r="L28" s="51">
        <v>14.402400000000002</v>
      </c>
      <c r="M28" s="99"/>
      <c r="N28" s="89"/>
      <c r="O28" s="90"/>
      <c r="P28" s="51">
        <f t="shared" ref="P28:P29" si="28">AVERAGE(H28:L28)</f>
        <v>17.24774</v>
      </c>
      <c r="Q28" s="53">
        <v>24.462600000000002</v>
      </c>
      <c r="R28" s="53">
        <v>39.790199999999999</v>
      </c>
      <c r="S28" s="53">
        <v>2.9784999999999999</v>
      </c>
      <c r="T28" s="53">
        <v>5.2080000000000002</v>
      </c>
      <c r="U28" s="53">
        <v>14.339099999999998</v>
      </c>
      <c r="V28" s="99"/>
      <c r="W28" s="89"/>
      <c r="X28" s="90"/>
      <c r="Y28" s="70">
        <f t="shared" ref="Y28:Y29" si="29">AVERAGE(Q28:U28)</f>
        <v>17.35568</v>
      </c>
      <c r="Z28" s="55">
        <v>24.466799999999999</v>
      </c>
      <c r="AA28" s="71">
        <v>39.947099999999999</v>
      </c>
      <c r="AB28" s="55">
        <v>2.9519000000000002</v>
      </c>
      <c r="AC28" s="55">
        <v>5.3245000000000005</v>
      </c>
      <c r="AD28" s="55">
        <v>14.284700000000001</v>
      </c>
      <c r="AE28" s="97"/>
      <c r="AF28" s="89"/>
      <c r="AG28" s="89"/>
      <c r="AH28" s="72">
        <f t="shared" ref="AH28:AH29" si="30">AVERAGE(Z28:AD28)</f>
        <v>17.395</v>
      </c>
      <c r="AI28" s="95"/>
      <c r="AJ28" s="89"/>
      <c r="AK28" s="89"/>
      <c r="AL28" s="89"/>
      <c r="AM28" s="90"/>
      <c r="AN28" s="34">
        <f t="shared" ref="AN28:AN29" si="31">P28-AH28</f>
        <v>-0.14725999999999928</v>
      </c>
      <c r="AO28" s="34">
        <f t="shared" ref="AO28:AO29" si="32">Y28-AH28</f>
        <v>-3.9320000000000022E-2</v>
      </c>
    </row>
    <row r="29" spans="1:41" ht="15.75" customHeight="1" x14ac:dyDescent="0.2">
      <c r="A29" s="40" t="s">
        <v>92</v>
      </c>
      <c r="B29" s="58" t="s">
        <v>93</v>
      </c>
      <c r="C29" s="37">
        <v>95.11</v>
      </c>
      <c r="D29" s="145"/>
      <c r="E29" s="145"/>
      <c r="F29" s="145"/>
      <c r="G29" s="144" t="s">
        <v>94</v>
      </c>
      <c r="H29" s="73">
        <v>39.489999999999995</v>
      </c>
      <c r="I29" s="73">
        <v>56.599999999999994</v>
      </c>
      <c r="J29" s="59">
        <v>4.25</v>
      </c>
      <c r="K29" s="73">
        <v>8.59</v>
      </c>
      <c r="L29" s="73">
        <v>8.82</v>
      </c>
      <c r="M29" s="103"/>
      <c r="N29" s="89"/>
      <c r="O29" s="90"/>
      <c r="P29" s="59">
        <f t="shared" si="28"/>
        <v>23.55</v>
      </c>
      <c r="Q29" s="60">
        <v>39.61</v>
      </c>
      <c r="R29" s="74">
        <v>56.730000000000004</v>
      </c>
      <c r="S29" s="60">
        <v>4.2299999999999995</v>
      </c>
      <c r="T29" s="60">
        <v>8.57</v>
      </c>
      <c r="U29" s="60">
        <v>8.870000000000001</v>
      </c>
      <c r="V29" s="103"/>
      <c r="W29" s="89"/>
      <c r="X29" s="90"/>
      <c r="Y29" s="75">
        <f t="shared" si="29"/>
        <v>23.602000000000004</v>
      </c>
      <c r="Z29" s="76">
        <v>39.479999999999997</v>
      </c>
      <c r="AA29" s="77">
        <v>56.34</v>
      </c>
      <c r="AB29" s="62">
        <v>4.3999999999999995</v>
      </c>
      <c r="AC29" s="76">
        <v>8.9</v>
      </c>
      <c r="AD29" s="76">
        <v>8.99</v>
      </c>
      <c r="AE29" s="98"/>
      <c r="AF29" s="89"/>
      <c r="AG29" s="89"/>
      <c r="AH29" s="78">
        <f t="shared" si="30"/>
        <v>23.622</v>
      </c>
      <c r="AI29" s="96"/>
      <c r="AJ29" s="89"/>
      <c r="AK29" s="89"/>
      <c r="AL29" s="89"/>
      <c r="AM29" s="90"/>
      <c r="AN29" s="34">
        <f t="shared" si="31"/>
        <v>-7.1999999999999176E-2</v>
      </c>
      <c r="AO29" s="34">
        <f t="shared" si="32"/>
        <v>-1.9999999999996021E-2</v>
      </c>
    </row>
    <row r="30" spans="1:41" ht="15.75" customHeight="1" x14ac:dyDescent="0.2">
      <c r="A30" s="63"/>
      <c r="B30" s="79"/>
      <c r="C30" s="50"/>
      <c r="D30" s="148"/>
      <c r="E30" s="149"/>
      <c r="F30" s="150"/>
      <c r="G30" s="151"/>
      <c r="H30" s="46" t="s">
        <v>95</v>
      </c>
      <c r="I30" s="102"/>
      <c r="J30" s="94"/>
      <c r="K30" s="94"/>
      <c r="L30" s="94"/>
      <c r="M30" s="94"/>
      <c r="N30" s="94"/>
      <c r="O30" s="94"/>
      <c r="P30" s="80"/>
      <c r="Q30" s="46" t="s">
        <v>95</v>
      </c>
      <c r="R30" s="102"/>
      <c r="S30" s="94"/>
      <c r="T30" s="94"/>
      <c r="U30" s="94"/>
      <c r="V30" s="94"/>
      <c r="W30" s="94"/>
      <c r="X30" s="94"/>
      <c r="Y30" s="80"/>
      <c r="Z30" s="46" t="s">
        <v>95</v>
      </c>
      <c r="AA30" s="102"/>
      <c r="AB30" s="94"/>
      <c r="AC30" s="94"/>
      <c r="AD30" s="94"/>
      <c r="AE30" s="94"/>
      <c r="AF30" s="94"/>
      <c r="AG30" s="94"/>
      <c r="AH30" s="46"/>
      <c r="AI30" s="93"/>
      <c r="AJ30" s="94"/>
      <c r="AK30" s="94"/>
      <c r="AL30" s="94"/>
      <c r="AM30" s="92"/>
      <c r="AN30" s="46"/>
      <c r="AO30" s="46"/>
    </row>
    <row r="31" spans="1:41" ht="15.75" customHeight="1" x14ac:dyDescent="0.2">
      <c r="A31" s="41" t="s">
        <v>9</v>
      </c>
      <c r="B31" s="28">
        <v>86594063</v>
      </c>
      <c r="C31" s="29">
        <v>98.08</v>
      </c>
      <c r="D31" s="153" t="s">
        <v>24</v>
      </c>
      <c r="E31" s="154" t="s">
        <v>62</v>
      </c>
      <c r="F31" s="155" t="s">
        <v>51</v>
      </c>
      <c r="G31" s="142" t="s">
        <v>96</v>
      </c>
      <c r="H31" s="51">
        <v>44.81</v>
      </c>
      <c r="I31" s="105"/>
      <c r="J31" s="100"/>
      <c r="K31" s="100"/>
      <c r="L31" s="100"/>
      <c r="M31" s="100"/>
      <c r="N31" s="100"/>
      <c r="O31" s="101"/>
      <c r="P31" s="51">
        <v>44.81</v>
      </c>
      <c r="Q31" s="53">
        <v>44.800000000000004</v>
      </c>
      <c r="R31" s="105"/>
      <c r="S31" s="100"/>
      <c r="T31" s="100"/>
      <c r="U31" s="100"/>
      <c r="V31" s="100"/>
      <c r="W31" s="100"/>
      <c r="X31" s="101"/>
      <c r="Y31" s="53">
        <v>44.800000000000004</v>
      </c>
      <c r="Z31" s="55">
        <v>44.04</v>
      </c>
      <c r="AA31" s="105"/>
      <c r="AB31" s="100"/>
      <c r="AC31" s="100"/>
      <c r="AD31" s="100"/>
      <c r="AE31" s="100"/>
      <c r="AF31" s="100"/>
      <c r="AG31" s="100"/>
      <c r="AH31" s="55">
        <v>44.04</v>
      </c>
      <c r="AI31" s="106"/>
      <c r="AJ31" s="100"/>
      <c r="AK31" s="100"/>
      <c r="AL31" s="100"/>
      <c r="AM31" s="101"/>
      <c r="AN31" s="34">
        <f>P31-AH31</f>
        <v>0.77000000000000313</v>
      </c>
      <c r="AO31" s="34">
        <f>Y31-AH31</f>
        <v>0.76000000000000512</v>
      </c>
    </row>
    <row r="32" spans="1:41" ht="12.75" x14ac:dyDescent="0.2">
      <c r="B32" s="81"/>
      <c r="C32" s="81"/>
      <c r="D32" s="81"/>
      <c r="E32" s="81"/>
      <c r="F32" s="81"/>
      <c r="G32" s="81"/>
    </row>
    <row r="35" spans="1:28" ht="12.75" x14ac:dyDescent="0.2">
      <c r="A35" s="82" t="s">
        <v>97</v>
      </c>
      <c r="B35" s="82" t="s">
        <v>98</v>
      </c>
      <c r="C35" s="46" t="s">
        <v>15</v>
      </c>
      <c r="D35" s="83"/>
      <c r="E35" s="83"/>
      <c r="F35" s="83"/>
      <c r="G35" s="83"/>
      <c r="U35" s="83"/>
      <c r="V35" s="83"/>
    </row>
    <row r="36" spans="1:28" ht="12.75" x14ac:dyDescent="0.2">
      <c r="A36" s="84" t="s">
        <v>23</v>
      </c>
      <c r="B36" s="84" t="s">
        <v>5</v>
      </c>
      <c r="C36" s="84" t="s">
        <v>99</v>
      </c>
      <c r="D36" s="83"/>
      <c r="E36" s="83"/>
      <c r="F36" s="83"/>
      <c r="G36" s="83"/>
      <c r="R36" s="12"/>
      <c r="S36" s="12"/>
      <c r="T36" s="85"/>
      <c r="U36" s="83"/>
      <c r="V36" s="83"/>
    </row>
    <row r="37" spans="1:28" ht="12.75" x14ac:dyDescent="0.2">
      <c r="A37" s="46" t="s">
        <v>29</v>
      </c>
      <c r="B37" s="46" t="s">
        <v>5</v>
      </c>
      <c r="C37" s="46" t="s">
        <v>100</v>
      </c>
      <c r="D37" s="83"/>
      <c r="E37" s="83"/>
      <c r="F37" s="83"/>
      <c r="G37" s="83"/>
      <c r="P37" s="83"/>
      <c r="Q37" s="83"/>
      <c r="R37" s="12"/>
      <c r="S37" s="12"/>
      <c r="T37" s="86"/>
      <c r="U37" s="83"/>
      <c r="V37" s="83"/>
    </row>
    <row r="38" spans="1:28" ht="12.75" x14ac:dyDescent="0.2">
      <c r="A38" s="87" t="s">
        <v>30</v>
      </c>
      <c r="B38" s="87" t="s">
        <v>5</v>
      </c>
      <c r="C38" s="84" t="s">
        <v>101</v>
      </c>
      <c r="D38" s="83"/>
      <c r="E38" s="83"/>
      <c r="F38" s="83"/>
      <c r="G38" s="83"/>
      <c r="I38" s="88"/>
      <c r="K38" s="83"/>
      <c r="L38" s="83"/>
      <c r="M38" s="83"/>
      <c r="N38" s="83"/>
      <c r="O38" s="83"/>
      <c r="P38" s="83"/>
      <c r="Q38" s="83"/>
      <c r="R38" s="12"/>
      <c r="S38" s="12"/>
      <c r="T38" s="85"/>
      <c r="U38" s="83"/>
      <c r="V38" s="83"/>
    </row>
    <row r="39" spans="1:28" ht="12.75" x14ac:dyDescent="0.2">
      <c r="A39" s="46" t="s">
        <v>53</v>
      </c>
      <c r="B39" s="46" t="s">
        <v>5</v>
      </c>
      <c r="C39" s="107" t="s">
        <v>102</v>
      </c>
      <c r="D39" s="83"/>
      <c r="E39" s="83"/>
      <c r="F39" s="83"/>
      <c r="G39" s="83"/>
      <c r="I39" s="88"/>
      <c r="K39" s="83"/>
      <c r="L39" s="83"/>
      <c r="M39" s="83"/>
      <c r="N39" s="83"/>
      <c r="O39" s="83"/>
      <c r="P39" s="83"/>
      <c r="Q39" s="83"/>
      <c r="R39" s="12"/>
      <c r="S39" s="12"/>
      <c r="T39" s="86"/>
      <c r="U39" s="83"/>
      <c r="V39" s="83"/>
    </row>
    <row r="40" spans="1:28" ht="12.75" x14ac:dyDescent="0.2">
      <c r="A40" s="84" t="s">
        <v>54</v>
      </c>
      <c r="B40" s="84" t="s">
        <v>5</v>
      </c>
      <c r="C40" s="108"/>
      <c r="D40" s="83"/>
      <c r="E40" s="83"/>
      <c r="F40" s="83"/>
      <c r="G40" s="83"/>
      <c r="I40" s="88"/>
      <c r="K40" s="83"/>
      <c r="L40" s="83"/>
      <c r="M40" s="83"/>
      <c r="N40" s="83"/>
      <c r="O40" s="83"/>
      <c r="P40" s="83"/>
      <c r="Q40" s="83"/>
      <c r="R40" s="12"/>
      <c r="S40" s="12"/>
      <c r="T40" s="85"/>
      <c r="U40" s="83"/>
      <c r="V40" s="83"/>
      <c r="AA40" s="11"/>
      <c r="AB40" s="11"/>
    </row>
    <row r="41" spans="1:28" ht="12.75" x14ac:dyDescent="0.2">
      <c r="A41" s="46" t="s">
        <v>55</v>
      </c>
      <c r="B41" s="46" t="s">
        <v>5</v>
      </c>
      <c r="C41" s="108"/>
      <c r="D41" s="83"/>
      <c r="E41" s="83"/>
      <c r="F41" s="83"/>
      <c r="G41" s="83"/>
      <c r="I41" s="88"/>
      <c r="K41" s="83"/>
      <c r="L41" s="83"/>
      <c r="M41" s="83"/>
      <c r="N41" s="83"/>
      <c r="O41" s="83"/>
      <c r="P41" s="83"/>
      <c r="Q41" s="83"/>
      <c r="R41" s="12"/>
      <c r="S41" s="12"/>
      <c r="T41" s="85"/>
      <c r="U41" s="83"/>
      <c r="V41" s="83"/>
      <c r="AA41" s="11"/>
      <c r="AB41" s="11"/>
    </row>
    <row r="42" spans="1:28" ht="12.75" x14ac:dyDescent="0.2">
      <c r="A42" s="84" t="s">
        <v>56</v>
      </c>
      <c r="B42" s="84" t="s">
        <v>5</v>
      </c>
      <c r="C42" s="108"/>
      <c r="D42" s="83"/>
      <c r="E42" s="83"/>
      <c r="F42" s="83"/>
      <c r="G42" s="83"/>
      <c r="I42" s="88"/>
      <c r="K42" s="83"/>
      <c r="L42" s="83"/>
      <c r="M42" s="83"/>
      <c r="N42" s="83"/>
      <c r="O42" s="83"/>
      <c r="P42" s="83"/>
      <c r="Q42" s="83"/>
      <c r="R42" s="12"/>
      <c r="S42" s="12"/>
      <c r="T42" s="86"/>
      <c r="U42" s="83"/>
      <c r="V42" s="83"/>
      <c r="AA42" s="11"/>
      <c r="AB42" s="11"/>
    </row>
    <row r="43" spans="1:28" ht="12.75" x14ac:dyDescent="0.2">
      <c r="A43" s="46" t="s">
        <v>57</v>
      </c>
      <c r="B43" s="46" t="s">
        <v>5</v>
      </c>
      <c r="C43" s="108"/>
      <c r="I43" s="88"/>
      <c r="R43" s="12"/>
      <c r="S43" s="12"/>
      <c r="T43" s="86"/>
    </row>
    <row r="44" spans="1:28" ht="12.75" x14ac:dyDescent="0.2">
      <c r="A44" s="84" t="s">
        <v>58</v>
      </c>
      <c r="B44" s="84" t="s">
        <v>5</v>
      </c>
      <c r="C44" s="108"/>
      <c r="I44" s="88"/>
    </row>
    <row r="45" spans="1:28" ht="12.75" x14ac:dyDescent="0.2">
      <c r="A45" s="46" t="s">
        <v>59</v>
      </c>
      <c r="B45" s="46" t="s">
        <v>5</v>
      </c>
      <c r="C45" s="108"/>
      <c r="I45" s="88"/>
    </row>
    <row r="46" spans="1:28" ht="12.75" x14ac:dyDescent="0.2">
      <c r="A46" s="84" t="s">
        <v>60</v>
      </c>
      <c r="B46" s="84" t="s">
        <v>5</v>
      </c>
      <c r="C46" s="91"/>
      <c r="I46" s="88"/>
    </row>
    <row r="47" spans="1:28" ht="12.75" x14ac:dyDescent="0.2">
      <c r="A47" s="46" t="s">
        <v>71</v>
      </c>
      <c r="B47" s="46" t="s">
        <v>5</v>
      </c>
      <c r="C47" s="46" t="s">
        <v>103</v>
      </c>
      <c r="I47" s="88"/>
    </row>
    <row r="48" spans="1:28" ht="12.75" x14ac:dyDescent="0.2">
      <c r="A48" s="84" t="s">
        <v>104</v>
      </c>
      <c r="B48" s="84" t="s">
        <v>69</v>
      </c>
      <c r="C48" s="84" t="s">
        <v>105</v>
      </c>
      <c r="I48" s="88"/>
    </row>
    <row r="49" spans="1:24" ht="12.75" x14ac:dyDescent="0.2">
      <c r="A49" s="46" t="s">
        <v>106</v>
      </c>
      <c r="B49" s="46" t="s">
        <v>73</v>
      </c>
      <c r="C49" s="46" t="s">
        <v>107</v>
      </c>
      <c r="I49" s="88"/>
    </row>
    <row r="50" spans="1:24" ht="12.75" x14ac:dyDescent="0.2">
      <c r="A50" s="84" t="s">
        <v>108</v>
      </c>
      <c r="B50" s="84" t="s">
        <v>68</v>
      </c>
      <c r="C50" s="109" t="s">
        <v>109</v>
      </c>
      <c r="I50" s="88"/>
    </row>
    <row r="51" spans="1:24" ht="12.75" x14ac:dyDescent="0.2">
      <c r="A51" s="46" t="s">
        <v>110</v>
      </c>
      <c r="B51" s="46" t="s">
        <v>67</v>
      </c>
      <c r="C51" s="108"/>
      <c r="I51" s="88"/>
    </row>
    <row r="52" spans="1:24" ht="12.75" x14ac:dyDescent="0.2">
      <c r="A52" s="84" t="s">
        <v>72</v>
      </c>
      <c r="B52" s="84" t="s">
        <v>5</v>
      </c>
      <c r="C52" s="109" t="s">
        <v>111</v>
      </c>
      <c r="I52" s="88"/>
    </row>
    <row r="53" spans="1:24" ht="12.75" x14ac:dyDescent="0.2">
      <c r="A53" s="46" t="s">
        <v>70</v>
      </c>
      <c r="B53" s="46" t="s">
        <v>5</v>
      </c>
      <c r="C53" s="91"/>
      <c r="I53" s="88"/>
    </row>
    <row r="54" spans="1:24" ht="12.75" x14ac:dyDescent="0.2">
      <c r="A54" s="84" t="s">
        <v>112</v>
      </c>
      <c r="B54" s="84" t="s">
        <v>86</v>
      </c>
      <c r="C54" s="109" t="s">
        <v>113</v>
      </c>
      <c r="I54" s="88"/>
    </row>
    <row r="55" spans="1:24" ht="12.75" x14ac:dyDescent="0.2">
      <c r="A55" s="46" t="s">
        <v>114</v>
      </c>
      <c r="B55" s="46" t="s">
        <v>87</v>
      </c>
      <c r="C55" s="91"/>
      <c r="I55" s="88"/>
    </row>
    <row r="56" spans="1:24" ht="12.75" x14ac:dyDescent="0.2">
      <c r="A56" s="84" t="s">
        <v>115</v>
      </c>
      <c r="B56" s="84" t="s">
        <v>88</v>
      </c>
      <c r="C56" s="84" t="s">
        <v>116</v>
      </c>
      <c r="I56" s="88"/>
    </row>
    <row r="57" spans="1:24" ht="12.75" x14ac:dyDescent="0.2">
      <c r="A57" s="46" t="s">
        <v>117</v>
      </c>
      <c r="B57" s="46" t="s">
        <v>84</v>
      </c>
      <c r="C57" s="107" t="s">
        <v>118</v>
      </c>
      <c r="I57" s="88"/>
    </row>
    <row r="58" spans="1:24" ht="12.75" x14ac:dyDescent="0.2">
      <c r="A58" s="84" t="s">
        <v>119</v>
      </c>
      <c r="B58" s="84" t="s">
        <v>85</v>
      </c>
      <c r="C58" s="91"/>
      <c r="D58" s="11"/>
      <c r="E58" s="11"/>
      <c r="F58" s="11"/>
      <c r="G58" s="11"/>
      <c r="I58" s="88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2.75" x14ac:dyDescent="0.2">
      <c r="A59" s="46" t="s">
        <v>8</v>
      </c>
      <c r="B59" s="46" t="s">
        <v>95</v>
      </c>
      <c r="C59" s="46" t="s">
        <v>120</v>
      </c>
      <c r="D59" s="11"/>
      <c r="E59" s="11"/>
      <c r="F59" s="11"/>
      <c r="G59" s="11"/>
      <c r="I59" s="88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2.75" x14ac:dyDescent="0.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2.75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2.75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2.75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2.75" x14ac:dyDescent="0.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2.75" x14ac:dyDescent="0.2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2.75" x14ac:dyDescent="0.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2.75" x14ac:dyDescent="0.2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2.75" x14ac:dyDescent="0.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2.75" x14ac:dyDescent="0.2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2.75" x14ac:dyDescent="0.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2.75" x14ac:dyDescent="0.2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</sheetData>
  <mergeCells count="137">
    <mergeCell ref="AD14:AG14"/>
    <mergeCell ref="AD10:AG10"/>
    <mergeCell ref="U11:X11"/>
    <mergeCell ref="AD11:AG11"/>
    <mergeCell ref="L15:O15"/>
    <mergeCell ref="U15:X15"/>
    <mergeCell ref="AD15:AG15"/>
    <mergeCell ref="L11:O11"/>
    <mergeCell ref="L12:O12"/>
    <mergeCell ref="U12:X12"/>
    <mergeCell ref="AD12:AG12"/>
    <mergeCell ref="AD16:AG16"/>
    <mergeCell ref="L16:O16"/>
    <mergeCell ref="L13:O13"/>
    <mergeCell ref="L14:O14"/>
    <mergeCell ref="U13:X13"/>
    <mergeCell ref="U14:X14"/>
    <mergeCell ref="U16:X16"/>
    <mergeCell ref="AD13:AG13"/>
    <mergeCell ref="AM7:AM8"/>
    <mergeCell ref="AN7:AN8"/>
    <mergeCell ref="AO7:AO8"/>
    <mergeCell ref="AK3:AL4"/>
    <mergeCell ref="AM3:AM4"/>
    <mergeCell ref="AN3:AN4"/>
    <mergeCell ref="AO3:AO4"/>
    <mergeCell ref="AK5:AL5"/>
    <mergeCell ref="AK6:AL6"/>
    <mergeCell ref="AK7:AL7"/>
    <mergeCell ref="S3:X4"/>
    <mergeCell ref="Y3:Y4"/>
    <mergeCell ref="S5:X5"/>
    <mergeCell ref="S6:X6"/>
    <mergeCell ref="S7:T7"/>
    <mergeCell ref="Y7:Y8"/>
    <mergeCell ref="Z7:AA7"/>
    <mergeCell ref="U7:X8"/>
    <mergeCell ref="U9:X9"/>
    <mergeCell ref="U10:X10"/>
    <mergeCell ref="F5:F6"/>
    <mergeCell ref="F7:F8"/>
    <mergeCell ref="G17:G18"/>
    <mergeCell ref="P3:P4"/>
    <mergeCell ref="Q3:R3"/>
    <mergeCell ref="Q7:R7"/>
    <mergeCell ref="L10:O10"/>
    <mergeCell ref="F9:F18"/>
    <mergeCell ref="D21:D22"/>
    <mergeCell ref="D24:D26"/>
    <mergeCell ref="D28:D29"/>
    <mergeCell ref="E21:E22"/>
    <mergeCell ref="F21:F22"/>
    <mergeCell ref="E24:E26"/>
    <mergeCell ref="F24:F26"/>
    <mergeCell ref="E28:E29"/>
    <mergeCell ref="F28:F29"/>
    <mergeCell ref="D9:D19"/>
    <mergeCell ref="E9:E19"/>
    <mergeCell ref="G7:G8"/>
    <mergeCell ref="B7:B8"/>
    <mergeCell ref="D3:D4"/>
    <mergeCell ref="E3:E4"/>
    <mergeCell ref="D5:D6"/>
    <mergeCell ref="A7:A8"/>
    <mergeCell ref="C7:C8"/>
    <mergeCell ref="D7:D8"/>
    <mergeCell ref="E7:E8"/>
    <mergeCell ref="AD7:AG8"/>
    <mergeCell ref="AD9:AG9"/>
    <mergeCell ref="AH3:AH4"/>
    <mergeCell ref="AI3:AJ3"/>
    <mergeCell ref="AB5:AG5"/>
    <mergeCell ref="AB6:AG6"/>
    <mergeCell ref="AB7:AC7"/>
    <mergeCell ref="AH7:AH8"/>
    <mergeCell ref="AI7:AJ7"/>
    <mergeCell ref="L7:O8"/>
    <mergeCell ref="L9:O9"/>
    <mergeCell ref="H3:I3"/>
    <mergeCell ref="J3:O4"/>
    <mergeCell ref="J5:O5"/>
    <mergeCell ref="J6:O6"/>
    <mergeCell ref="H7:I7"/>
    <mergeCell ref="J7:K7"/>
    <mergeCell ref="P7:P8"/>
    <mergeCell ref="Z3:AA3"/>
    <mergeCell ref="AB3:AG4"/>
    <mergeCell ref="H2:O2"/>
    <mergeCell ref="Q2:X2"/>
    <mergeCell ref="Z2:AG2"/>
    <mergeCell ref="AI2:AL2"/>
    <mergeCell ref="A3:A4"/>
    <mergeCell ref="B3:B4"/>
    <mergeCell ref="C3:C4"/>
    <mergeCell ref="F3:F4"/>
    <mergeCell ref="G3:G4"/>
    <mergeCell ref="C54:C55"/>
    <mergeCell ref="C57:C58"/>
    <mergeCell ref="L18:O18"/>
    <mergeCell ref="L19:O19"/>
    <mergeCell ref="M27:O27"/>
    <mergeCell ref="M28:O28"/>
    <mergeCell ref="M29:O29"/>
    <mergeCell ref="I30:O30"/>
    <mergeCell ref="I31:O31"/>
    <mergeCell ref="R30:X30"/>
    <mergeCell ref="AA30:AG30"/>
    <mergeCell ref="AI30:AM30"/>
    <mergeCell ref="R31:X31"/>
    <mergeCell ref="AA31:AG31"/>
    <mergeCell ref="AI31:AM31"/>
    <mergeCell ref="C39:C46"/>
    <mergeCell ref="C50:C51"/>
    <mergeCell ref="C52:C53"/>
    <mergeCell ref="AD17:AG17"/>
    <mergeCell ref="AD18:AG18"/>
    <mergeCell ref="AD19:AG19"/>
    <mergeCell ref="AI20:AM20"/>
    <mergeCell ref="AI21:AM21"/>
    <mergeCell ref="AE29:AG29"/>
    <mergeCell ref="AI29:AM29"/>
    <mergeCell ref="U17:X17"/>
    <mergeCell ref="U18:X18"/>
    <mergeCell ref="U19:X19"/>
    <mergeCell ref="V27:X27"/>
    <mergeCell ref="V28:X28"/>
    <mergeCell ref="V29:X29"/>
    <mergeCell ref="L17:O17"/>
    <mergeCell ref="AI27:AM27"/>
    <mergeCell ref="AI28:AM28"/>
    <mergeCell ref="AI22:AM22"/>
    <mergeCell ref="AI23:AM23"/>
    <mergeCell ref="AI24:AM24"/>
    <mergeCell ref="AI25:AM25"/>
    <mergeCell ref="AI26:AM26"/>
    <mergeCell ref="AE27:AG27"/>
    <mergeCell ref="AE28:AG28"/>
  </mergeCells>
  <conditionalFormatting sqref="AN5:AO6 AN9:AO19 AN21:AO22 AN24:AO26 AN28:AO29 AN31:AO31 D31:G31 D3:G9 D20:G29 F19:G19 G10:G18">
    <cfRule type="cellIs" dxfId="2" priority="1" operator="greaterThan">
      <formula>10</formula>
    </cfRule>
    <cfRule type="cellIs" dxfId="1" priority="2" operator="greaterThan">
      <formula>5</formula>
    </cfRule>
    <cfRule type="cellIs" dxfId="0" priority="3" operator="lessThanOrEqual">
      <formula>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IOANNIS RIZOS</cp:lastModifiedBy>
  <dcterms:modified xsi:type="dcterms:W3CDTF">2026-05-29T11:00:39Z</dcterms:modified>
</cp:coreProperties>
</file>